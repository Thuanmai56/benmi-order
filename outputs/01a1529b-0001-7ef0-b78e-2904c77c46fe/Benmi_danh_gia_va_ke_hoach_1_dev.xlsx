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9df4dd67574a10" /></Relationships>
</file>

<file path=xl/workbook.xml><?xml version="1.0" encoding="utf-8"?>
<x:workbook xmlns:x="http://schemas.openxmlformats.org/spreadsheetml/2006/main">
  <x:sheets>
    <x:sheet xmlns:r="http://schemas.openxmlformats.org/officeDocument/2006/relationships" name="Tổng quan" sheetId="1" r:id="R9da3a107fac24253"/>
    <x:sheet xmlns:r="http://schemas.openxmlformats.org/officeDocument/2006/relationships" name="Kế hoạch" sheetId="2" r:id="R450ef5b99feb4d53"/>
    <x:sheet xmlns:r="http://schemas.openxmlformats.org/officeDocument/2006/relationships" name="Đối chiếu" sheetId="3" r:id="Rfdffa077335e4b61"/>
    <x:sheet xmlns:r="http://schemas.openxmlformats.org/officeDocument/2006/relationships" name="Bản dịch" sheetId="4" r:id="R0dfe89b739ec4bf2"/>
    <x:sheet xmlns:r="http://schemas.openxmlformats.org/officeDocument/2006/relationships" name="Thiết kế" sheetId="5" r:id="Rdbec4f5e84ac4bdd"/>
    <x:sheet xmlns:r="http://schemas.openxmlformats.org/officeDocument/2006/relationships" name="Nghiệm thu" sheetId="6" r:id="Ra9d435b95a2544f4"/>
    <x:sheet xmlns:r="http://schemas.openxmlformats.org/officeDocument/2006/relationships" name="Cần chốt" sheetId="7" r:id="R8912f8434dbe42a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dd/mm/yyyy"/>
    <x:numFmt numFmtId="204" formatCode="0&quot;  &quot;"/>
  </x:numFmts>
  <x:fonts count="7">
    <x:font>
      <x:sz val="11"/>
      <x:name val="Carlito"/>
    </x:font>
    <x:font>
      <x:sz val="10"/>
      <x:color rgb="FF213047"/>
      <x:name val="Arial"/>
    </x:font>
    <x:font>
      <x:b/>
      <x:sz val="16"/>
      <x:color rgb="FF233B59"/>
      <x:name val="Arial"/>
    </x:font>
    <x:font>
      <x:b/>
      <x:sz val="10"/>
      <x:color rgb="FFFFFFFF"/>
      <x:name val="Arial"/>
    </x:font>
    <x:font>
      <x:i/>
      <x:sz val="10"/>
      <x:color rgb="FF64748B"/>
      <x:name val="Arial"/>
    </x:font>
    <x:font>
      <x:b/>
      <x:sz val="10"/>
      <x:color rgb="FF213047"/>
      <x:name val="Arial"/>
    </x:font>
    <x:font>
      <x:b/>
      <x:sz val="10"/>
      <x:color rgb="FF233B59"/>
      <x:name val="Arial"/>
    </x:font>
  </x:fonts>
  <x:fills count="7">
    <x:fill>
      <x:patternFill patternType="none"/>
    </x:fill>
    <x:fill>
      <x:patternFill patternType="gray125"/>
    </x:fill>
    <x:fill>
      <x:patternFill patternType="solid">
        <x:fgColor rgb="FF233B59"/>
      </x:patternFill>
    </x:fill>
    <x:fill>
      <x:patternFill patternType="solid">
        <x:fgColor rgb="FFFFF1CB"/>
      </x:patternFill>
    </x:fill>
    <x:fill>
      <x:patternFill patternType="solid">
        <x:fgColor rgb="FFFFFFFF"/>
      </x:patternFill>
    </x:fill>
    <x:fill>
      <x:patternFill patternType="solid">
        <x:fgColor rgb="FFF2F5F9"/>
      </x:patternFill>
    </x:fill>
    <x:fill>
      <x:patternFill patternType="solid">
        <x:fgColor rgb="FFE3EAF3"/>
      </x:patternFill>
    </x:fill>
  </x:fills>
  <x:borders count="2">
    <x:border>
      <x:left/>
      <x:right/>
      <x:top/>
      <x:bottom/>
      <x:diagonal/>
    </x:border>
    <x:border>
      <x:left/>
      <x:right/>
      <x:top/>
      <x:bottom style="thin">
        <x:color rgb="FFCBD5E1"/>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3" borderId="0" xfId="0" applyNumberFormat="1" applyFont="1" applyFill="1" applyBorder="1" applyAlignment="1">
      <x:alignment horizontal="right" vertical="top" wrapText="1"/>
    </x:xf>
    <x:xf numFmtId="0" fontId="1"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5" fillId="6"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2" fontId="5" fillId="6" borderId="0" xfId="0" applyNumberFormat="1" applyFont="1" applyFill="1" applyBorder="1" applyAlignment="1">
      <x:alignment vertical="center"/>
    </x:xf>
    <x:xf numFmtId="0"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0" fontId="5" fillId="6" borderId="0" xfId="0" applyNumberFormat="1" applyFont="1" applyFill="1" applyBorder="1" applyAlignment="1">
      <x:alignment horizontal="right" vertical="center"/>
    </x:xf>
    <x:xf numFmtId="202" fontId="5" fillId="6" borderId="0" xfId="0" applyNumberFormat="1" applyFont="1" applyFill="1" applyBorder="1" applyAlignment="1">
      <x:alignment horizontal="right" vertical="center"/>
    </x:xf>
    <x:xf numFmtId="0" fontId="1"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3" fontId="1" fillId="0" borderId="0" xfId="0" applyNumberFormat="1" applyFont="1" applyFill="1" applyBorder="1" applyAlignment="1">
      <x:alignment vertical="center"/>
    </x:xf>
    <x:xf numFmtId="0" fontId="1" fillId="0" borderId="0" xfId="0" applyNumberFormat="1" applyFont="1" applyFill="1" applyBorder="1" applyAlignment="1">
      <x:alignment horizontal="right" vertical="center" wrapText="1"/>
    </x:xf>
    <x:xf numFmtId="0" fontId="1" fillId="6" borderId="0" xfId="0" applyNumberFormat="1" applyFont="1" applyFill="1" applyBorder="1" applyAlignment="1">
      <x:alignment vertical="center" wrapText="1"/>
    </x:xf>
    <x:xf numFmtId="0" fontId="1" fillId="6" borderId="0" xfId="0" applyNumberFormat="1" applyFont="1" applyFill="1" applyBorder="1" applyAlignment="1">
      <x:alignment horizontal="right" vertical="center" wrapText="1"/>
    </x:xf>
    <x:xf numFmtId="0" fontId="5" fillId="6" borderId="0" xfId="0" applyNumberFormat="1" applyFont="1" applyFill="1" applyBorder="1" applyAlignment="1">
      <x:alignment horizontal="right" vertical="center" wrapText="1"/>
    </x:xf>
    <x:xf numFmtId="204" fontId="1" fillId="0" borderId="0" xfId="0" applyNumberFormat="1" applyFont="1" applyFill="1" applyBorder="1" applyAlignment="1">
      <x:alignment horizontal="right" vertical="center" wrapText="1"/>
    </x:xf>
    <x:xf numFmtId="204" fontId="5" fillId="6" borderId="0" xfId="0" applyNumberFormat="1" applyFont="1" applyFill="1" applyBorder="1" applyAlignment="1">
      <x:alignment horizontal="right" vertical="center" wrapText="1"/>
    </x:xf>
    <x:xf numFmtId="0" fontId="1" fillId="5" borderId="0" xfId="0" applyNumberFormat="1" applyFont="1" applyFill="1" applyBorder="1" applyAlignment="1">
      <x:alignment vertical="center" wrapText="1"/>
    </x:xf>
  </x:cellXfs>
  <x:cellStyles count="1">
    <x:cellStyle name="Normal" xfId="0"/>
  </x:cellStyles>
  <x:dxfs count="6">
    <x:dxf>
      <x:font>
        <x:color rgb="FF315B48"/>
      </x:font>
      <x:fill>
        <x:patternFill patternType="solid">
          <x:bgColor rgb="FFE8F1ED"/>
        </x:patternFill>
      </x:fill>
    </x:dxf>
    <x:dxf>
      <x:font>
        <x:color rgb="FF805B20"/>
      </x:font>
      <x:fill>
        <x:patternFill patternType="solid">
          <x:bgColor rgb="FFFFF0D8"/>
        </x:patternFill>
      </x:fill>
    </x:dxf>
    <x:dxf>
      <x:font>
        <x:color rgb="FF844C4C"/>
      </x:font>
      <x:fill>
        <x:patternFill patternType="solid">
          <x:bgColor rgb="FFF4E8E8"/>
        </x:patternFill>
      </x:fill>
    </x:dxf>
    <x:dxf>
      <x:font>
        <x:color rgb="FF844C4C"/>
      </x:font>
      <x:fill>
        <x:patternFill patternType="solid">
          <x:bgColor rgb="FFF4E8E8"/>
        </x:patternFill>
      </x:fill>
    </x:dxf>
    <x:dxf>
      <x:font>
        <x:color rgb="FF8A2727"/>
      </x:font>
      <x:fill>
        <x:patternFill patternType="solid">
          <x:bgColor rgb="FFF5DADA"/>
        </x:patternFill>
      </x:fill>
    </x:dxf>
    <x:dxf>
      <x:font>
        <x:color rgb="FF805B20"/>
      </x:font>
      <x:fill>
        <x:patternFill patternType="solid">
          <x:bgColor rgb="FFFFF0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e37b4b73234b9b" /><Relationship Type="http://schemas.openxmlformats.org/officeDocument/2006/relationships/theme" Target="/xl/theme/theme1.xml" Id="Raeb8df181a524c14" /><Relationship Type="http://schemas.openxmlformats.org/officeDocument/2006/relationships/sharedStrings" Target="/xl/sharedStrings.xml" Id="Rc5e337b5c61a4b06" /><Relationship Type="http://schemas.openxmlformats.org/officeDocument/2006/relationships/worksheet" Target="/xl/worksheets/sheet1.xml" Id="R9da3a107fac24253" /><Relationship Type="http://schemas.openxmlformats.org/officeDocument/2006/relationships/worksheet" Target="/xl/worksheets/sheet2.xml" Id="R450ef5b99feb4d53" /><Relationship Type="http://schemas.openxmlformats.org/officeDocument/2006/relationships/worksheet" Target="/xl/worksheets/sheet3.xml" Id="Rfdffa077335e4b61" /><Relationship Type="http://schemas.openxmlformats.org/officeDocument/2006/relationships/worksheet" Target="/xl/worksheets/sheet4.xml" Id="R0dfe89b739ec4bf2" /><Relationship Type="http://schemas.openxmlformats.org/officeDocument/2006/relationships/worksheet" Target="/xl/worksheets/sheet5.xml" Id="Rdbec4f5e84ac4bdd" /><Relationship Type="http://schemas.openxmlformats.org/officeDocument/2006/relationships/worksheet" Target="/xl/worksheets/sheet6.xml" Id="Ra9d435b95a2544f4" /><Relationship Type="http://schemas.openxmlformats.org/officeDocument/2006/relationships/worksheet" Target="/xl/worksheets/sheet7.xml" Id="R8912f8434dbe42a0" /></Relationships>
</file>

<file path=xl/tables/table1.xml><?xml version="1.0" encoding="utf-8"?>
<x:table xmlns:x="http://schemas.openxmlformats.org/spreadsheetml/2006/main" id="1" name="Milestones" displayName="Milestones" ref="B15:H29" headerRowCount="1" totalsRowCount="0" totalsRowShown="0">
  <x:autoFilter ref="B15:H29"/>
  <x:tableColumns count="7">
    <x:tableColumn id="1" name="Mã"/>
    <x:tableColumn id="2" name="Giai đoạn"/>
    <x:tableColumn id="3" name="Công việc"/>
    <x:tableColumn id="4" name="Công thấp"/>
    <x:tableColumn id="5" name="Công cao"/>
    <x:tableColumn id="6" name="Phụ thuộc"/>
    <x:tableColumn id="7" name="Đầu ra cần kiểm tra"/>
  </x:tableColumns>
  <x:tableStyleInfo name="TableStyleLight1" showFirstColumn="0" showLastColumn="0" showRowStripes="1" showColumnStripes="0"/>
</x:table>
</file>

<file path=xl/tables/table2.xml><?xml version="1.0" encoding="utf-8"?>
<x:table xmlns:x="http://schemas.openxmlformats.org/spreadsheetml/2006/main" id="2" name="Requirements" displayName="Requirements" ref="B6:F27" headerRowCount="1" totalsRowCount="0" totalsRowShown="0">
  <x:autoFilter ref="B6:F27"/>
  <x:tableColumns count="5">
    <x:tableColumn id="1" name="Mã"/>
    <x:tableColumn id="2" name="Yêu cầu"/>
    <x:tableColumn id="3" name="Hiện trạng"/>
    <x:tableColumn id="4" name="Phần có sẵn và việc cần làm"/>
    <x:tableColumn id="5" name="Giai đoạn"/>
  </x:tableColumns>
  <x:tableStyleInfo name="TableStyleLight1" showFirstColumn="0" showLastColumn="0" showRowStripes="1" showColumnStripes="0"/>
</x:table>
</file>

<file path=xl/tables/table3.xml><?xml version="1.0" encoding="utf-8"?>
<x:table xmlns:x="http://schemas.openxmlformats.org/spreadsheetml/2006/main" id="3" name="TranslatedRequirements" displayName="TranslatedRequirements" ref="B6:D39" headerRowCount="1" totalsRowCount="0" totalsRowShown="0">
  <x:autoFilter ref="B6:D39"/>
  <x:tableColumns count="3">
    <x:tableColumn id="1" name="STT"/>
    <x:tableColumn id="2" name="Nhóm yêu cầu"/>
    <x:tableColumn id="3" name="Bản dịch tiếng Việt"/>
  </x:tableColumns>
  <x:tableStyleInfo name="TableStyleLight1" showFirstColumn="0" showLastColumn="0" showRowStripes="1" showColumnStripes="0"/>
</x:table>
</file>

<file path=xl/tables/table4.xml><?xml version="1.0" encoding="utf-8"?>
<x:table xmlns:x="http://schemas.openxmlformats.org/spreadsheetml/2006/main" id="4" name="TechnicalDesign" displayName="TechnicalDesign" ref="B6:C58" headerRowCount="1" totalsRowCount="0" totalsRowShown="0">
  <x:autoFilter ref="B6:C58"/>
  <x:tableColumns count="2">
    <x:tableColumn id="1" name="Chủ đề"/>
    <x:tableColumn id="2" name="Cách triển khai"/>
  </x:tableColumns>
  <x:tableStyleInfo name="TableStyleLight1" showFirstColumn="0" showLastColumn="0" showRowStripes="1" showColumnStripes="0"/>
</x:table>
</file>

<file path=xl/tables/table5.xml><?xml version="1.0" encoding="utf-8"?>
<x:table xmlns:x="http://schemas.openxmlformats.org/spreadsheetml/2006/main" id="5" name="AcceptanceTests" displayName="AcceptanceTests" ref="B6:E18" headerRowCount="1" totalsRowCount="0" totalsRowShown="0">
  <x:autoFilter ref="B6:E18"/>
  <x:tableColumns count="4">
    <x:tableColumn id="1" name="Mã"/>
    <x:tableColumn id="2" name="Nhóm"/>
    <x:tableColumn id="3" name="Điều kiện nghiệm thu"/>
    <x:tableColumn id="4" name="Kết quả"/>
  </x:tableColumns>
  <x:tableStyleInfo name="TableStyleLight1" showFirstColumn="0" showLastColumn="0" showRowStripes="1" showColumnStripes="0"/>
</x:table>
</file>

<file path=xl/tables/table6.xml><?xml version="1.0" encoding="utf-8"?>
<x:table xmlns:x="http://schemas.openxmlformats.org/spreadsheetml/2006/main" id="6" name="OpenDecisions" displayName="OpenDecisions" ref="B6:E16" headerRowCount="1" totalsRowCount="0" totalsRowShown="0">
  <x:autoFilter ref="B6:E16"/>
  <x:tableColumns count="4">
    <x:tableColumn id="1" name="Mã"/>
    <x:tableColumn id="2" name="Câu hỏi"/>
    <x:tableColumn id="3" name="Quyết định đã thống nhất"/>
    <x:tableColumn id="4" name="Tình trạng"/>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d2d4b88d49424b" /></Relationships>
</file>

<file path=xl/worksheets/_rels/sheet3.xml.rels>&#65279;<?xml version="1.0" encoding="utf-8"?><Relationships xmlns="http://schemas.openxmlformats.org/package/2006/relationships"><Relationship Type="http://schemas.openxmlformats.org/officeDocument/2006/relationships/table" Target="/xl/tables/table2.xml" Id="R1989834eeaa24fdd" /></Relationships>
</file>

<file path=xl/worksheets/_rels/sheet4.xml.rels>&#65279;<?xml version="1.0" encoding="utf-8"?><Relationships xmlns="http://schemas.openxmlformats.org/package/2006/relationships"><Relationship Type="http://schemas.openxmlformats.org/officeDocument/2006/relationships/table" Target="/xl/tables/table3.xml" Id="R5830fa554a0d4673" /></Relationships>
</file>

<file path=xl/worksheets/_rels/sheet5.xml.rels>&#65279;<?xml version="1.0" encoding="utf-8"?><Relationships xmlns="http://schemas.openxmlformats.org/package/2006/relationships"><Relationship Type="http://schemas.openxmlformats.org/officeDocument/2006/relationships/table" Target="/xl/tables/table4.xml" Id="R59b18199a2014c6f" /></Relationships>
</file>

<file path=xl/worksheets/_rels/sheet6.xml.rels>&#65279;<?xml version="1.0" encoding="utf-8"?><Relationships xmlns="http://schemas.openxmlformats.org/package/2006/relationships"><Relationship Type="http://schemas.openxmlformats.org/officeDocument/2006/relationships/table" Target="/xl/tables/table5.xml" Id="Rd9eb99cc7a1245cd" /></Relationships>
</file>

<file path=xl/worksheets/_rels/sheet7.xml.rels>&#65279;<?xml version="1.0" encoding="utf-8"?><Relationships xmlns="http://schemas.openxmlformats.org/package/2006/relationships"><Relationship Type="http://schemas.openxmlformats.org/officeDocument/2006/relationships/table" Target="/xl/tables/table6.xml" Id="R48b87745386140e4" /></Relationships>
</file>

<file path=xl/worksheets/sheet1.xml><?xml version="1.0" encoding="utf-8"?>
<x:worksheet xmlns:x="http://schemas.openxmlformats.org/spreadsheetml/2006/main">
  <x:sheetPr>
    <x:tabColor rgb="FF233B59"/>
  </x:sheetPr>
  <x:sheetViews>
    <x:sheetView showGridLines="0" workbookViewId="0"/>
  </x:sheetViews>
  <x:sheetFormatPr defaultRowHeight="15"/>
  <x:cols>
    <x:col min="1" max="1" width="3" hidden="0" customWidth="1"/>
    <x:col min="2" max="2" width="29" hidden="0" customWidth="1"/>
    <x:col min="3" max="3" width="14" hidden="0" customWidth="1"/>
    <x:col min="4" max="4" width="14" hidden="0" customWidth="1"/>
    <x:col min="5" max="5" width="86" hidden="0" customWidth="1"/>
    <x:col min="6" max="6" width="3" hidden="0" customWidth="1"/>
  </x:cols>
  <x:sheetData>
    <x:row r="2" ht="30" customHeight="1">
      <x:c r="B2" s="3" t="str">
        <x:v>Benmi: kế hoạch cho chuỗi 20 điểm</x:v>
      </x:c>
      <x:c r="C2" s="2"/>
      <x:c r="D2" s="2"/>
      <x:c r="E2" s="2"/>
      <x:c r="F2" s="2"/>
    </x:row>
    <x:row r="3" ht="22" customHeight="1">
      <x:c r="B3" s="4"/>
      <x:c r="C3" s="4"/>
      <x:c r="D3" s="4"/>
      <x:c r="E3" s="4"/>
      <x:c r="F3" s="4"/>
    </x:row>
    <x:row r="4" ht="22" customHeight="1">
      <x:c r="B4" s="2" t="str">
        <x:v>Ngày đánh giá</x:v>
      </x:c>
      <x:c r="C4" s="36" t="d">
        <x:v>2026-10-19T00:00:00.000Z</x:v>
      </x:c>
      <x:c r="D4" s="2"/>
      <x:c r="E4" s="2"/>
      <x:c r="F4" s="2"/>
    </x:row>
    <x:row r="5" ht="22" customHeight="1">
      <x:c r="B5" s="2"/>
      <x:c r="C5" s="2"/>
      <x:c r="D5" s="2"/>
      <x:c r="E5" s="2"/>
      <x:c r="F5" s="2"/>
    </x:row>
    <x:row r="6" ht="34" customHeight="1">
      <x:c r="B6" s="8" t="str">
        <x:v>Mốc bàn giao</x:v>
      </x:c>
      <x:c r="C6" s="8" t="str">
        <x:v>Tuần thấp</x:v>
      </x:c>
      <x:c r="D6" s="8" t="str">
        <x:v>Tuần cao</x:v>
      </x:c>
      <x:c r="E6" s="8" t="str">
        <x:v>Phạm vi</x:v>
      </x:c>
      <x:c r="F6" s="2"/>
    </x:row>
    <x:row r="7" ht="64" customHeight="1">
      <x:c r="B7" s="12" t="str">
        <x:v>Pilot cốt lõi</x:v>
      </x:c>
      <x:c r="C7" s="41" t="n">
        <x:f>'Kế hoạch'!G33</x:f>
        <x:v>16</x:v>
      </x:c>
      <x:c r="D7" s="41" t="n">
        <x:f>'Kế hoạch'!H33</x:f>
        <x:v>20</x:v>
      </x:c>
      <x:c r="E7" s="12" t="str">
        <x:v>1 đến 2 điểm. Có hội viên, ví chung, QR, ca tài xế, đối soát, in tem và 5 ngôn ngữ. Marketing làm ở giai đoạn sau.</x:v>
      </x:c>
      <x:c r="F7" s="2"/>
    </x:row>
    <x:row r="8" ht="64" customHeight="1">
      <x:c r="B8" s="12" t="str">
        <x:v>Mở rộng sau pilot</x:v>
      </x:c>
      <x:c r="C8" s="41" t="n">
        <x:f>'Kế hoạch'!G34</x:f>
        <x:v>12</x:v>
      </x:c>
      <x:c r="D8" s="41" t="n">
        <x:f>'Kế hoạch'!H34</x:f>
        <x:v>16</x:v>
      </x:c>
      <x:c r="E8" s="12" t="str">
        <x:v>Thêm voucher, giới thiệu bạn bè, điểm, vòng quay, công cụ tổng bộ và triển khai 20 điểm.</x:v>
      </x:c>
      <x:c r="F8" s="2"/>
    </x:row>
    <x:row r="9" ht="64" customHeight="1">
      <x:c r="B9" s="21" t="str">
        <x:v>Toàn dự án</x:v>
      </x:c>
      <x:c r="C9" s="42" t="n">
        <x:f>'Kế hoạch'!G35</x:f>
        <x:v>28</x:v>
      </x:c>
      <x:c r="D9" s="42" t="n">
        <x:f>'Kế hoạch'!H35</x:f>
        <x:v>36</x:v>
      </x:c>
      <x:c r="E9" s="21" t="str">
        <x:v>Tổng hai giai đoạn. Bao gồm dự phòng kỹ thuật và thời gian chạy thử theo giả định ở sheet Kế hoạch.</x:v>
      </x:c>
      <x:c r="F9" s="2"/>
    </x:row>
    <x:row r="10" ht="64" customHeight="1">
      <x:c r="B10" s="12" t="str">
        <x:v>Pilot tiền mặt (tùy chọn)</x:v>
      </x:c>
      <x:c r="C10" s="41" t="n">
        <x:f>'Kế hoạch'!G38</x:f>
        <x:v>6</x:v>
      </x:c>
      <x:c r="D10" s="41" t="n">
        <x:f>'Kế hoạch'!H38</x:f>
        <x:v>8</x:v>
      </x:c>
      <x:c r="E10" s="12" t="str">
        <x:v>Phạm vi rút gọn khi cần thử sớm. Chưa có ví, marketing và đầy đủ 5 ngôn ngữ. Không cộng vào tổng dự án.</x:v>
      </x:c>
      <x:c r="F10" s="2"/>
    </x:row>
    <x:row r="11" ht="22" customHeight="1">
      <x:c r="B11" s="2"/>
      <x:c r="C11" s="2"/>
      <x:c r="D11" s="2"/>
      <x:c r="E11" s="2"/>
      <x:c r="F11" s="2"/>
    </x:row>
    <x:row r="12" ht="22" customHeight="1">
      <x:c r="B12" s="2"/>
      <x:c r="C12" s="2"/>
      <x:c r="D12" s="2"/>
      <x:c r="E12" s="2"/>
      <x:c r="F12" s="2"/>
    </x:row>
    <x:row r="13" ht="34" customHeight="1">
      <x:c r="B13" s="8" t="str">
        <x:v>Nội dung</x:v>
      </x:c>
      <x:c r="C13" s="8" t="str"/>
      <x:c r="D13" s="8" t="str"/>
      <x:c r="E13" s="8" t="str">
        <x:v>Nhận định</x:v>
      </x:c>
      <x:c r="F13" s="2"/>
    </x:row>
    <x:row r="14" ht="52" customHeight="1">
      <x:c r="B14" s="12" t="str">
        <x:v>Có thể dùng lại</x:v>
      </x:c>
      <x:c r="C14" s="12"/>
      <x:c r="D14" s="12"/>
      <x:c r="E14" s="12" t="str">
        <x:v>Menu, giá và branding theo cửa hàng; web đặt món, chọn ngày giờ, xử lý đơn, báo cáo từng cửa hàng và Android POS có máy in.</x:v>
      </x:c>
      <x:c r="F14" s="2"/>
    </x:row>
    <x:row r="15" ht="52" customHeight="1">
      <x:c r="B15" s="43" t="str">
        <x:v>Phải phát triển</x:v>
      </x:c>
      <x:c r="C15" s="43"/>
      <x:c r="D15" s="43"/>
      <x:c r="E15" s="43" t="str">
        <x:v>Quản trị chuỗi, hội viên/ví dùng chung, chốt đơn theo ca, phiếu bếp/chuyến, quyền tài xế, đối soát và marketing.</x:v>
      </x:c>
      <x:c r="F15" s="2"/>
    </x:row>
    <x:row r="16" ht="52" customHeight="1">
      <x:c r="B16" s="12" t="str">
        <x:v>Ưu tiên trước tiền thật</x:v>
      </x:c>
      <x:c r="C16" s="12"/>
      <x:c r="D16" s="12"/>
      <x:c r="E16" s="12" t="str">
        <x:v>Xác thực tại API, tính giá ở server, chống trừ ví hai lần và ghi đầy đủ người thu tiền, điểm nhận, ca làm.</x:v>
      </x:c>
      <x:c r="F16" s="2"/>
    </x:row>
    <x:row r="17" ht="52" customHeight="1">
      <x:c r="B17" s="43" t="str">
        <x:v>Điều kiện mở rộng</x:v>
      </x:c>
      <x:c r="C17" s="43"/>
      <x:c r="D17" s="43"/>
      <x:c r="E17" s="43" t="str">
        <x:v>Thử tại hai điểm khác menu/giá. Tiền tài xế khớp, không trừ trùng và phiếu bếp khớp phiếu chuyến trước khi mở thêm điểm.</x:v>
      </x:c>
      <x:c r="F17" s="2"/>
    </x:row>
    <x:row r="18" ht="52" customHeight="1">
      <x:c r="B18" s="12" t="str">
        <x:v>Cơ sở ước lượng</x:v>
      </x:c>
      <x:c r="C18" s="12"/>
      <x:c r="D18" s="12"/>
      <x:c r="E18" s="12" t="str">
        <x:v>Một dev toàn thời gian đã quen Benmi. Khách cung cấp menu, thiết bị và người duyệt ngôn ngữ. Chưa tính thời gian chờ các đầu vào này.</x:v>
      </x:c>
      <x:c r="F18" s="2"/>
    </x:row>
    <x:row r="19" ht="52" customHeight="1">
      <x:c r="B19" s="43" t="str">
        <x:v>Báo giá</x:v>
      </x:c>
      <x:c r="C19" s="43"/>
      <x:c r="D19" s="43"/>
      <x:c r="E19" s="43" t="str">
        <x:v>Chưa có đơn giá ngày công. Tách phí phát triển, thiết bị, dịch vụ ngoài và hỗ trợ. Phần lõi đã xây ở pilot không tính lại khi mở rộng.</x:v>
      </x:c>
      <x:c r="F19" s="2"/>
    </x:row>
    <x:row r="20" ht="52" customHeight="1">
      <x:c r="B20" s="12" t="str">
        <x:v>Độ phủ hiện tại</x:v>
      </x:c>
      <x:c r="C20" s="12"/>
      <x:c r="D20" s="12"/>
      <x:c r="E20" s="12" t="str">
        <x:v>Đây là đánh giá từ mã nguồn. Có nền tảng không đồng nghĩa toàn bộ yêu cầu đã được nghiệm thu trên production.</x:v>
      </x:c>
      <x:c r="F20" s="2"/>
    </x:row>
    <x:row r="21" ht="22" customHeight="1">
      <x:c r="B21" s="2"/>
      <x:c r="C21" s="2"/>
      <x:c r="D21" s="2"/>
      <x:c r="E21" s="2"/>
      <x:c r="F21" s="2"/>
    </x:row>
    <x:row r="22" ht="22" customHeight="1">
      <x:c r="B22" s="2"/>
      <x:c r="C22" s="2"/>
      <x:c r="D22" s="2"/>
      <x:c r="E22" s="2"/>
      <x:c r="F22" s="2"/>
    </x:row>
    <x:row r="23" ht="42" customHeight="1">
      <x:c r="B23" s="12" t="str">
        <x:v>Ngày công cơ sở</x:v>
      </x:c>
      <x:c r="C23" s="12" t="n">
        <x:f>'Kế hoạch'!C35</x:f>
        <x:v>99</x:v>
      </x:c>
      <x:c r="D23" s="12" t="n">
        <x:f>'Kế hoạch'!D35</x:f>
        <x:v>129</x:v>
      </x:c>
      <x:c r="E23" s="12" t="str">
        <x:v>Ngày công của toàn dự án, chưa cộng thời gian chờ chạy thử.</x:v>
      </x:c>
      <x:c r="F23" s="2"/>
    </x:row>
    <x:row r="24" ht="42" customHeight="1">
      <x:c r="B24" s="12" t="str">
        <x:v>Có dự phòng (làm tròn)</x:v>
      </x:c>
      <x:c r="C24" s="12" t="n">
        <x:f>ROUNDUP('Kế hoạch'!E35,0)</x:f>
        <x:v>119</x:v>
      </x:c>
      <x:c r="D24" s="12" t="n">
        <x:f>ROUNDUP('Kế hoạch'!F35,0)</x:f>
        <x:v>155</x:v>
      </x:c>
      <x:c r="E24" s="12" t="str">
        <x:v>Dự phòng được tính trên công phát triển; thời gian chạy thử được cộng riêng vào số tuần.</x:v>
      </x:c>
      <x:c r="F24" s="2"/>
    </x:row>
    <x:row r="25" ht="22" customHeight="1">
      <x:c r="B25" s="2"/>
      <x:c r="C25" s="2"/>
      <x:c r="D25" s="2"/>
      <x:c r="E25" s="2"/>
      <x:c r="F25" s="2"/>
    </x:row>
    <x:row r="26" ht="22" customHeight="1">
      <x:c r="B26" s="2"/>
      <x:c r="C26" s="2"/>
      <x:c r="D26" s="2"/>
      <x:c r="E26" s="2"/>
      <x:c r="F26" s="2"/>
    </x:row>
    <x:row r="27" ht="22" customHeight="1">
      <x:c r="B27" s="2"/>
      <x:c r="C27" s="2"/>
      <x:c r="D27" s="2"/>
      <x:c r="E27" s="2"/>
      <x:c r="F27" s="2"/>
    </x:row>
    <x:row r="28" ht="22" customHeight="1">
      <x:c r="B28" s="2"/>
      <x:c r="C28" s="2"/>
      <x:c r="D28" s="2"/>
      <x:c r="E28" s="2"/>
      <x:c r="F28" s="2"/>
    </x:row>
    <x:row r="29" ht="22" customHeight="1">
      <x:c r="B29" s="2"/>
      <x:c r="C29" s="2"/>
      <x:c r="D29" s="2"/>
      <x:c r="E29" s="2"/>
      <x:c r="F29" s="2"/>
    </x:row>
    <x:row r="30" ht="22" customHeight="1">
      <x:c r="B30" s="2"/>
      <x:c r="C30" s="2"/>
      <x:c r="D30" s="2"/>
      <x:c r="E30" s="2"/>
      <x:c r="F30" s="2"/>
    </x:row>
    <x:row r="31" ht="22" customHeight="1">
      <x:c r="B31" s="2"/>
      <x:c r="C31" s="2"/>
      <x:c r="D31" s="2"/>
      <x:c r="E31" s="2"/>
      <x:c r="F31" s="2"/>
    </x:row>
    <x:row r="32" ht="22" customHeight="1">
      <x:c r="B32" s="2"/>
      <x:c r="C32" s="2"/>
      <x:c r="D32" s="2"/>
      <x:c r="E32" s="2"/>
      <x:c r="F32" s="2"/>
    </x:row>
    <x:row r="33" ht="22" customHeight="1">
      <x:c r="B33" s="2"/>
      <x:c r="C33" s="2"/>
      <x:c r="D33" s="2"/>
      <x:c r="E33" s="2"/>
      <x:c r="F33" s="2"/>
    </x:row>
    <x:row r="34" ht="22" customHeight="1">
      <x:c r="B34" s="2"/>
      <x:c r="C34" s="2"/>
      <x:c r="D34" s="2"/>
      <x:c r="E34" s="2"/>
      <x:c r="F34" s="2"/>
    </x:row>
  </x:sheetData>
  <x:pageMargins left="0.7" right="0.7" top="0.75" bottom="0.75" header="0.3" footer="0.3"/>
</x:worksheet>
</file>

<file path=xl/worksheets/sheet2.xml><?xml version="1.0" encoding="utf-8"?>
<x:worksheet xmlns:x="http://schemas.openxmlformats.org/spreadsheetml/2006/main">
  <x:sheetPr>
    <x:tabColor rgb="FF486A8C"/>
  </x:sheetPr>
  <x:sheetViews>
    <x:sheetView showGridLines="0" workbookViewId="0">
      <x:pane ySplit="15" topLeftCell="A16" activePane="bottomLeft" state="frozen"/>
    </x:sheetView>
  </x:sheetViews>
  <x:sheetFormatPr defaultRowHeight="15"/>
  <x:cols>
    <x:col min="1" max="1" width="3" hidden="0" customWidth="1"/>
    <x:col min="2" max="2" width="13" hidden="0" customWidth="1"/>
    <x:col min="3" max="3" width="16" hidden="0" customWidth="1"/>
    <x:col min="4" max="4" width="51" hidden="0" customWidth="1"/>
    <x:col min="5" max="5" width="14" hidden="0" customWidth="1"/>
    <x:col min="6" max="6" width="14" hidden="0" customWidth="1"/>
    <x:col min="7" max="7" width="23" hidden="0" customWidth="1"/>
    <x:col min="8" max="8" width="62" hidden="0" customWidth="1"/>
  </x:cols>
  <x:sheetData>
    <x:row r="2" ht="30" customHeight="1">
      <x:c r="B2" s="3" t="str">
        <x:v>Kế hoạch phát triển với một dev</x:v>
      </x:c>
      <x:c r="C2" s="2"/>
      <x:c r="D2" s="2"/>
      <x:c r="E2" s="2"/>
      <x:c r="F2" s="2"/>
      <x:c r="G2" s="2"/>
      <x:c r="H2" s="2"/>
    </x:row>
    <x:row r="3" ht="22" customHeight="1">
      <x:c r="B3" s="4"/>
      <x:c r="C3" s="4"/>
      <x:c r="D3" s="4"/>
      <x:c r="E3" s="4"/>
      <x:c r="F3" s="4"/>
      <x:c r="G3" s="4"/>
      <x:c r="H3" s="4"/>
    </x:row>
    <x:row r="4" ht="22" customHeight="1">
      <x:c r="B4" s="11" t="str">
        <x:v>Ô vàng có thể sửa. Ước lượng giả định dev đã quen Benmi.</x:v>
      </x:c>
      <x:c r="C4" s="2"/>
      <x:c r="D4" s="2"/>
      <x:c r="E4" s="2"/>
      <x:c r="F4" s="2"/>
      <x:c r="G4" s="2"/>
      <x:c r="H4" s="2"/>
    </x:row>
    <x:row r="5" ht="34" customHeight="1">
      <x:c r="B5" s="2"/>
      <x:c r="C5" s="2"/>
      <x:c r="D5" s="8" t="str">
        <x:v>Giả định</x:v>
      </x:c>
      <x:c r="E5" s="8" t="str">
        <x:v>Giá trị</x:v>
      </x:c>
      <x:c r="F5" s="8" t="str">
        <x:v>Đơn vị</x:v>
      </x:c>
      <x:c r="G5" s="2"/>
      <x:c r="H5" s="2"/>
    </x:row>
    <x:row r="6" ht="22" customHeight="1">
      <x:c r="B6" s="2"/>
      <x:c r="C6" s="2"/>
      <x:c r="D6" s="2" t="str">
        <x:v>Số dev</x:v>
      </x:c>
      <x:c r="E6" s="9" t="n">
        <x:v>1</x:v>
      </x:c>
      <x:c r="F6" s="2" t="str">
        <x:v>người</x:v>
      </x:c>
      <x:c r="G6" s="2"/>
      <x:c r="H6" s="2"/>
    </x:row>
    <x:row r="7" ht="22" customHeight="1">
      <x:c r="B7" s="2"/>
      <x:c r="C7" s="2"/>
      <x:c r="D7" s="2" t="str">
        <x:v>Ngày làm việc/tuần</x:v>
      </x:c>
      <x:c r="E7" s="9" t="n">
        <x:v>5</x:v>
      </x:c>
      <x:c r="F7" s="2" t="str">
        <x:v>ngày</x:v>
      </x:c>
      <x:c r="G7" s="2"/>
      <x:c r="H7" s="2"/>
    </x:row>
    <x:row r="8" ht="22" customHeight="1">
      <x:c r="B8" s="2"/>
      <x:c r="C8" s="2"/>
      <x:c r="D8" s="2" t="str">
        <x:v>Thời gian dành cho dự án</x:v>
      </x:c>
      <x:c r="E8" s="10" t="n">
        <x:v>1</x:v>
      </x:c>
      <x:c r="F8" s="2" t="str">
        <x:v>tỷ lệ</x:v>
      </x:c>
      <x:c r="G8" s="2"/>
      <x:c r="H8" s="2"/>
    </x:row>
    <x:row r="9" ht="22" customHeight="1">
      <x:c r="B9" s="2"/>
      <x:c r="C9" s="2"/>
      <x:c r="D9" s="2" t="str">
        <x:v>Dự phòng kỹ thuật</x:v>
      </x:c>
      <x:c r="E9" s="10" t="n">
        <x:v>0.2</x:v>
      </x:c>
      <x:c r="F9" s="2" t="str">
        <x:v>tỷ lệ</x:v>
      </x:c>
      <x:c r="G9" s="2"/>
      <x:c r="H9" s="2"/>
    </x:row>
    <x:row r="10" ht="22" customHeight="1">
      <x:c r="B10" s="2"/>
      <x:c r="C10" s="2"/>
      <x:c r="D10" s="2" t="str">
        <x:v>Giờ tập trung/ngày</x:v>
      </x:c>
      <x:c r="E10" s="9" t="n">
        <x:v>6</x:v>
      </x:c>
      <x:c r="F10" s="2" t="str">
        <x:v>giờ</x:v>
      </x:c>
      <x:c r="G10" s="2"/>
      <x:c r="H10" s="2"/>
    </x:row>
    <x:row r="11" ht="22" customHeight="1">
      <x:c r="B11" s="2"/>
      <x:c r="C11" s="2"/>
      <x:c r="D11" s="2" t="str">
        <x:v>Chạy thử pilot (tuần)</x:v>
      </x:c>
      <x:c r="E11" s="9" t="n">
        <x:v>2</x:v>
      </x:c>
      <x:c r="F11" s="9" t="n">
        <x:v>2</x:v>
      </x:c>
      <x:c r="G11" s="11" t="str">
        <x:v>E: tối thiểu; F: tối đa</x:v>
      </x:c>
      <x:c r="H11" s="2"/>
    </x:row>
    <x:row r="12" ht="22" customHeight="1">
      <x:c r="B12" s="2"/>
      <x:c r="C12" s="2"/>
      <x:c r="D12" s="2" t="str">
        <x:v>Mở rộng thực địa (tuần)</x:v>
      </x:c>
      <x:c r="E12" s="9" t="n">
        <x:v>1</x:v>
      </x:c>
      <x:c r="F12" s="9" t="n">
        <x:v>2</x:v>
      </x:c>
      <x:c r="G12" s="2"/>
      <x:c r="H12" s="2"/>
    </x:row>
    <x:row r="13" ht="22" customHeight="1">
      <x:c r="B13" s="2"/>
      <x:c r="C13" s="2"/>
      <x:c r="D13" s="2" t="str">
        <x:v>Pilot tiền mặt: chạy thử (tuần)</x:v>
      </x:c>
      <x:c r="E13" s="9" t="n">
        <x:v>1</x:v>
      </x:c>
      <x:c r="F13" s="9" t="n">
        <x:v>2</x:v>
      </x:c>
      <x:c r="G13" s="2"/>
      <x:c r="H13" s="2"/>
    </x:row>
    <x:row r="14" ht="22" customHeight="1">
      <x:c r="B14" s="2"/>
      <x:c r="C14" s="2"/>
      <x:c r="D14" s="2"/>
      <x:c r="E14" s="2"/>
      <x:c r="F14" s="2"/>
      <x:c r="G14" s="2"/>
      <x:c r="H14" s="2"/>
    </x:row>
    <x:row r="15" ht="34" customHeight="1">
      <x:c r="B15" s="8" t="str">
        <x:v>Mã</x:v>
      </x:c>
      <x:c r="C15" s="8" t="str">
        <x:v>Giai đoạn</x:v>
      </x:c>
      <x:c r="D15" s="8" t="str">
        <x:v>Công việc</x:v>
      </x:c>
      <x:c r="E15" s="8" t="str">
        <x:v>Công thấp</x:v>
      </x:c>
      <x:c r="F15" s="8" t="str">
        <x:v>Công cao</x:v>
      </x:c>
      <x:c r="G15" s="8" t="str">
        <x:v>Phụ thuộc</x:v>
      </x:c>
      <x:c r="H15" s="8" t="str">
        <x:v>Đầu ra cần kiểm tra</x:v>
      </x:c>
    </x:row>
    <x:row r="16" ht="54" customHeight="1">
      <x:c r="B16" s="14" t="str">
        <x:v>P0</x:v>
      </x:c>
      <x:c r="C16" s="14" t="str">
        <x:v>Pilot</x:v>
      </x:c>
      <x:c r="D16" s="14" t="str">
        <x:v>Chốt quy trình/no-show/hoàn tiền, mô hình dữ liệu, spike debit cạnh tranh và xác nhận bộ máy in</x:v>
      </x:c>
      <x:c r="E16" s="18" t="n">
        <x:v>4</x:v>
      </x:c>
      <x:c r="F16" s="18" t="n">
        <x:v>5</x:v>
      </x:c>
      <x:c r="G16" s="14" t="str">
        <x:v>Chốt với khách</x:v>
      </x:c>
      <x:c r="H16" s="14" t="str">
        <x:v>Thống nhất hủy, hoàn, không đến nhận; thử debit đồng thời và chọn máy in.</x:v>
      </x:c>
    </x:row>
    <x:row r="17" ht="54" customHeight="1">
      <x:c r="B17" s="15" t="str">
        <x:v>P1</x:v>
      </x:c>
      <x:c r="C17" s="15" t="str">
        <x:v>Pilot</x:v>
      </x:c>
      <x:c r="D17" s="15" t="str">
        <x:v>Organization, staff account/session, quyền điểm và quyền thao tác; bảo vệ API; tính giá server</x:v>
      </x:c>
      <x:c r="E17" s="18" t="n">
        <x:v>7</x:v>
      </x:c>
      <x:c r="F17" s="18" t="n">
        <x:v>9</x:v>
      </x:c>
      <x:c r="G17" s="15" t="str">
        <x:v>P0</x:v>
      </x:c>
      <x:c r="H17" s="15" t="str">
        <x:v>Tài xế chỉ dùng đúng điểm được cấp; server tự tính giá.</x:v>
      </x:c>
    </x:row>
    <x:row r="18" ht="40" customHeight="1">
      <x:c r="B18" s="14" t="str">
        <x:v>P2</x:v>
      </x:c>
      <x:c r="C18" s="14" t="str">
        <x:v>Pilot</x:v>
      </x:c>
      <x:c r="D18" s="14" t="str">
        <x:v>Ca nhận, cutoff server, ngày phục vụ, snapshot bếp, mapping món, phiếu chuyến cơ bản</x:v>
      </x:c>
      <x:c r="E18" s="18" t="n">
        <x:v>6</x:v>
      </x:c>
      <x:c r="F18" s="18" t="n">
        <x:v>8</x:v>
      </x:c>
      <x:c r="G18" s="14" t="str">
        <x:v>P1</x:v>
      </x:c>
      <x:c r="H18" s="14" t="str">
        <x:v>Chặn đơn sau hạn; tổng bếp và phiếu chuyến khớp nhau.</x:v>
      </x:c>
    </x:row>
    <x:row r="19" ht="40" customHeight="1">
      <x:c r="B19" s="15" t="str">
        <x:v>P3</x:v>
      </x:c>
      <x:c r="C19" s="15" t="str">
        <x:v>Pilot</x:v>
      </x:c>
      <x:c r="D19" s="15" t="str">
        <x:v>Hội viên chung/định danh, tách i18n khách hàng đủ 5 ngôn ngữ, UI đăng ký và chọn điểm</x:v>
      </x:c>
      <x:c r="E19" s="18" t="n">
        <x:v>8</x:v>
      </x:c>
      <x:c r="F19" s="18" t="n">
        <x:v>10</x:v>
      </x:c>
      <x:c r="G19" s="15" t="str">
        <x:v>P1</x:v>
      </x:c>
      <x:c r="H19" s="15" t="str">
        <x:v>Một hội viên dùng được ở hai điểm; giao diện khách đủ năm ngôn ngữ.</x:v>
      </x:c>
    </x:row>
    <x:row r="20" ht="40" customHeight="1">
      <x:c r="B20" s="14" t="str">
        <x:v>P4</x:v>
      </x:c>
      <x:c r="C20" s="14" t="str">
        <x:v>Pilot</x:v>
      </x:c>
      <x:c r="D20" s="14" t="str">
        <x:v>Ví tiền gốc/bonus, gói nạp, payment, idempotency, đảo/hoàn cơ bản và audit</x:v>
      </x:c>
      <x:c r="E20" s="18" t="n">
        <x:v>10</x:v>
      </x:c>
      <x:c r="F20" s="18" t="n">
        <x:v>13</x:v>
      </x:c>
      <x:c r="G20" s="14" t="str">
        <x:v>P1, P3</x:v>
      </x:c>
      <x:c r="H20" s="14" t="str">
        <x:v>Không trừ tiền trùng; phân biệt tiền nạp, tiền tặng và bút toán hoàn.</x:v>
      </x:c>
    </x:row>
    <x:row r="21" ht="40" customHeight="1">
      <x:c r="B21" s="15" t="str">
        <x:v>P5</x:v>
      </x:c>
      <x:c r="C21" s="15" t="str">
        <x:v>Pilot</x:v>
      </x:c>
      <x:c r="D21" s="15" t="str">
        <x:v>UI tài xế, mở/chốt ca, QR, bán trực tiếp tiền mặt, tồn suất dư, đối soát ca</x:v>
      </x:c>
      <x:c r="E21" s="18" t="n">
        <x:v>6</x:v>
      </x:c>
      <x:c r="F21" s="18" t="n">
        <x:v>8</x:v>
      </x:c>
      <x:c r="G21" s="15" t="str">
        <x:v>P2, P4</x:v>
      </x:c>
      <x:c r="H21" s="15" t="str">
        <x:v>Quét QR, bán tiền mặt, chốt ca và tính tiền phải nộp.</x:v>
      </x:c>
    </x:row>
    <x:row r="22" ht="40" customHeight="1">
      <x:c r="B22" s="14" t="str">
        <x:v>P6</x:v>
      </x:c>
      <x:c r="C22" s="14" t="str">
        <x:v>Pilot</x:v>
      </x:c>
      <x:c r="D22" s="14" t="str">
        <x:v>Tem đủ trường, phiếu bếp/chuyến, hàng đợi in trung tâm, thử máy thật</x:v>
      </x:c>
      <x:c r="E22" s="18" t="n">
        <x:v>5</x:v>
      </x:c>
      <x:c r="F22" s="18" t="n">
        <x:v>6</x:v>
      </x:c>
      <x:c r="G22" s="14" t="str">
        <x:v>P2</x:v>
      </x:c>
      <x:c r="H22" s="14" t="str">
        <x:v>Tem có đủ mã, tên khách, điểm, ca và ghi chú tiếng Trung.</x:v>
      </x:c>
    </x:row>
    <x:row r="23" ht="54" customHeight="1">
      <x:c r="B23" s="15" t="str">
        <x:v>P7</x:v>
      </x:c>
      <x:c r="C23" s="15" t="str">
        <x:v>Pilot</x:v>
      </x:c>
      <x:c r="D23" s="15" t="str">
        <x:v>Tích hợp, test cạnh tranh/phân quyền, lỗi mạng, kiểm thử 5 ngôn ngữ, sửa lỗi, tài liệu/đào tạo</x:v>
      </x:c>
      <x:c r="E23" s="18" t="n">
        <x:v>10</x:v>
      </x:c>
      <x:c r="F23" s="18" t="n">
        <x:v>13</x:v>
      </x:c>
      <x:c r="G23" s="15" t="str">
        <x:v>P1 đến P6</x:v>
      </x:c>
      <x:c r="H23" s="15" t="str">
        <x:v>Hai điểm chạy thử; kiểm tra quyền, tiền, mạng và in thực tế.</x:v>
      </x:c>
    </x:row>
    <x:row r="24" ht="40" customHeight="1">
      <x:c r="B24" s="14" t="str">
        <x:v>P8</x:v>
      </x:c>
      <x:c r="C24" s="14" t="str">
        <x:v>Mở rộng</x:v>
      </x:c>
      <x:c r="D24" s="14" t="str">
        <x:v>Campaign/voucher đăng ký, ngưỡng, hạn tương đối, giữ/đổi/hoàn phiếu</x:v>
      </x:c>
      <x:c r="E24" s="18" t="n">
        <x:v>6</x:v>
      </x:c>
      <x:c r="F24" s="18" t="n">
        <x:v>8</x:v>
      </x:c>
      <x:c r="G24" s="14" t="str">
        <x:v>P3, P4, P5</x:v>
      </x:c>
      <x:c r="H24" s="14" t="str">
        <x:v>Phát phiếu một lần; kiểm tra ngưỡng, hạn sử dụng và hoàn phiếu.</x:v>
      </x:c>
    </x:row>
    <x:row r="25" ht="40" customHeight="1">
      <x:c r="B25" s="15" t="str">
        <x:v>P9</x:v>
      </x:c>
      <x:c r="C25" s="15" t="str">
        <x:v>Mở rộng</x:v>
      </x:c>
      <x:c r="D25" s="15" t="str">
        <x:v>MGM, cấp thưởng sau đơn đầu đã giao, chống tự giới thiệu và cấp trùng</x:v>
      </x:c>
      <x:c r="E25" s="18" t="n">
        <x:v>5</x:v>
      </x:c>
      <x:c r="F25" s="18" t="n">
        <x:v>7</x:v>
      </x:c>
      <x:c r="G25" s="15" t="str">
        <x:v>P8</x:v>
      </x:c>
      <x:c r="H25" s="15" t="str">
        <x:v>Thưởng sau đơn đầu đã nhận; không cấp thưởng lặp.</x:v>
      </x:c>
    </x:row>
    <x:row r="26" ht="40" customHeight="1">
      <x:c r="B26" s="14" t="str">
        <x:v>P10</x:v>
      </x:c>
      <x:c r="C26" s="14" t="str">
        <x:v>Mở rộng</x:v>
      </x:c>
      <x:c r="D26" s="14" t="str">
        <x:v>Sổ điểm theo ngày hết hạn, đổi hiện vật, quản lý tồn quà, liên điểm</x:v>
      </x:c>
      <x:c r="E26" s="18" t="n">
        <x:v>6</x:v>
      </x:c>
      <x:c r="F26" s="18" t="n">
        <x:v>8</x:v>
      </x:c>
      <x:c r="G26" s="14" t="str">
        <x:v>P4, P5</x:v>
      </x:c>
      <x:c r="H26" s="14" t="str">
        <x:v>Điểm hết hạn đúng ngày; đổi quà và tồn quà khớp.</x:v>
      </x:c>
    </x:row>
    <x:row r="27" ht="40" customHeight="1">
      <x:c r="B27" s="15" t="str">
        <x:v>P11</x:v>
      </x:c>
      <x:c r="C27" s="15" t="str">
        <x:v>Mở rộng</x:v>
      </x:c>
      <x:c r="D27" s="15" t="str">
        <x:v>Vòng quay 5 ngôn ngữ, lượt quay, kết quả server, tồn giải và lịch sử</x:v>
      </x:c>
      <x:c r="E27" s="18" t="n">
        <x:v>5</x:v>
      </x:c>
      <x:c r="F27" s="18" t="n">
        <x:v>7</x:v>
      </x:c>
      <x:c r="G27" s="15" t="str">
        <x:v>P8, P10</x:v>
      </x:c>
      <x:c r="H27" s="15" t="str">
        <x:v>Server quyết định kết quả; số giải không vượt tồn.</x:v>
      </x:c>
    </x:row>
    <x:row r="28" ht="40" customHeight="1">
      <x:c r="B28" s="14" t="str">
        <x:v>P12</x:v>
      </x:c>
      <x:c r="C28" s="14" t="str">
        <x:v>Mở rộng</x:v>
      </x:c>
      <x:c r="D28" s="14" t="str">
        <x:v>Tổng bộ hoàn chỉnh: quản lý hàng loạt điểm/menu/mapping/chuyến, báo cáo hợp nhất</x:v>
      </x:c>
      <x:c r="E28" s="18" t="n">
        <x:v>7</x:v>
      </x:c>
      <x:c r="F28" s="18" t="n">
        <x:v>9</x:v>
      </x:c>
      <x:c r="G28" s="14" t="str">
        <x:v>P2, P5</x:v>
      </x:c>
      <x:c r="H28" s="14" t="str">
        <x:v>Tổng bộ quản lý điểm, menu, chuyến và báo cáo chung.</x:v>
      </x:c>
    </x:row>
    <x:row r="29" ht="54" customHeight="1">
      <x:c r="B29" s="15" t="str">
        <x:v>P13</x:v>
      </x:c>
      <x:c r="C29" s="15" t="str">
        <x:v>Mở rộng</x:v>
      </x:c>
      <x:c r="D29" s="15" t="str">
        <x:v>Regression toàn luồng marketing/tiền; load test; diễn tập 20 điểm; nhập dữ liệu và chuẩn bị rollout</x:v>
      </x:c>
      <x:c r="E29" s="18" t="n">
        <x:v>14</x:v>
      </x:c>
      <x:c r="F29" s="18" t="n">
        <x:v>18</x:v>
      </x:c>
      <x:c r="G29" s="15" t="str">
        <x:v>P8 đến P12</x:v>
      </x:c>
      <x:c r="H29" s="15" t="str">
        <x:v>Đạt tiêu chí tải, đối soát và diễn tập trước khi mở 20 điểm.</x:v>
      </x:c>
    </x:row>
    <x:row r="30" ht="22" customHeight="1">
      <x:c r="B30" s="2"/>
      <x:c r="C30" s="2"/>
      <x:c r="D30" s="2"/>
      <x:c r="E30" s="2"/>
      <x:c r="F30" s="2"/>
      <x:c r="G30" s="2"/>
      <x:c r="H30" s="2"/>
    </x:row>
    <x:row r="31" ht="22" customHeight="1">
      <x:c r="B31" s="2"/>
      <x:c r="C31" s="2"/>
      <x:c r="D31" s="2"/>
      <x:c r="E31" s="2"/>
      <x:c r="F31" s="2"/>
      <x:c r="G31" s="2"/>
      <x:c r="H31" s="2"/>
    </x:row>
    <x:row r="32" ht="34" customHeight="1">
      <x:c r="B32" s="8" t="str">
        <x:v>Giai đoạn</x:v>
      </x:c>
      <x:c r="C32" s="8" t="str">
        <x:v>Công thấp</x:v>
      </x:c>
      <x:c r="D32" s="8" t="str">
        <x:v>Công cao</x:v>
      </x:c>
      <x:c r="E32" s="8" t="str">
        <x:v>Có dự phòng: thấp</x:v>
      </x:c>
      <x:c r="F32" s="8" t="str">
        <x:v>Có dự phòng: cao</x:v>
      </x:c>
      <x:c r="G32" s="8" t="str">
        <x:v>Tuần thấp</x:v>
      </x:c>
      <x:c r="H32" s="8" t="str">
        <x:v>Tuần cao</x:v>
      </x:c>
    </x:row>
    <x:row r="33" ht="38" customHeight="1">
      <x:c r="B33" s="12" t="str">
        <x:v>Pilot cốt lõi</x:v>
      </x:c>
      <x:c r="C33" s="24" t="n">
        <x:f>SUM(E16:E23)</x:f>
        <x:v>56</x:v>
      </x:c>
      <x:c r="D33" s="24" t="n">
        <x:f>SUM(F16:F23)</x:f>
        <x:v>72</x:v>
      </x:c>
      <x:c r="E33" s="25" t="n">
        <x:f>C33*(1+$E$9)</x:f>
        <x:v>67.2</x:v>
      </x:c>
      <x:c r="F33" s="25" t="n">
        <x:f>D33*(1+$E$9)</x:f>
        <x:v>86.39999999999999</x:v>
      </x:c>
      <x:c r="G33" s="24" t="n">
        <x:f>IF(OR($E$6&lt;=0,$E$7&lt;=0,$E$8&lt;=0),"Chưa đủ dữ liệu",ROUNDUP(E33/($E$6*$E$7*$E$8)+$E$11,0))</x:f>
        <x:v>16</x:v>
      </x:c>
      <x:c r="H33" s="24" t="n">
        <x:f>IF(OR($E$6&lt;=0,$E$7&lt;=0,$E$8&lt;=0),"Chưa đủ dữ liệu",ROUNDUP(F33/($E$6*$E$7*$E$8)+$F$11,0))</x:f>
        <x:v>20</x:v>
      </x:c>
    </x:row>
    <x:row r="34" ht="38" customHeight="1">
      <x:c r="B34" s="12" t="str">
        <x:v>Mở rộng 20 điểm</x:v>
      </x:c>
      <x:c r="C34" s="24" t="n">
        <x:f>SUM(E24:E29)</x:f>
        <x:v>43</x:v>
      </x:c>
      <x:c r="D34" s="24" t="n">
        <x:f>SUM(F24:F29)</x:f>
        <x:v>57</x:v>
      </x:c>
      <x:c r="E34" s="25" t="n">
        <x:f>C34*(1+$E$9)</x:f>
        <x:v>51.6</x:v>
      </x:c>
      <x:c r="F34" s="25" t="n">
        <x:f>D34*(1+$E$9)</x:f>
        <x:v>68.39999999999999</x:v>
      </x:c>
      <x:c r="G34" s="24" t="n">
        <x:f>IF(OR($E$6&lt;=0,$E$7&lt;=0,$E$8&lt;=0),"Chưa đủ dữ liệu",ROUNDUP(E34/($E$6*$E$7*$E$8)+$E$12,0))</x:f>
        <x:v>12</x:v>
      </x:c>
      <x:c r="H34" s="24" t="n">
        <x:f>IF(OR($E$6&lt;=0,$E$7&lt;=0,$E$8&lt;=0),"Chưa đủ dữ liệu",ROUNDUP(F34/($E$6*$E$7*$E$8)+$F$12,0))</x:f>
        <x:v>16</x:v>
      </x:c>
    </x:row>
    <x:row r="35" ht="38" customHeight="1">
      <x:c r="B35" s="21" t="str">
        <x:v>Toàn dự án</x:v>
      </x:c>
      <x:c r="C35" s="26" t="n">
        <x:f>SUM(C33:C34)</x:f>
        <x:v>99</x:v>
      </x:c>
      <x:c r="D35" s="26" t="n">
        <x:f>SUM(D33:D34)</x:f>
        <x:v>129</x:v>
      </x:c>
      <x:c r="E35" s="27" t="n">
        <x:f>SUM(E33:E34)</x:f>
        <x:v>118.80000000000001</x:v>
      </x:c>
      <x:c r="F35" s="27" t="n">
        <x:f>SUM(F33:F34)</x:f>
        <x:v>154.79999999999998</x:v>
      </x:c>
      <x:c r="G35" s="26" t="n">
        <x:f>IF(COUNT(G33:G34)=2,SUM(G33:G34),"Chưa đủ dữ liệu")</x:f>
        <x:v>28</x:v>
      </x:c>
      <x:c r="H35" s="26" t="n">
        <x:f>IF(COUNT(H33:H34)=2,SUM(H33:H34),"Chưa đủ dữ liệu")</x:f>
        <x:v>36</x:v>
      </x:c>
    </x:row>
    <x:row r="36" ht="22" customHeight="1">
      <x:c r="B36" s="2"/>
      <x:c r="C36" s="2"/>
      <x:c r="D36" s="2"/>
      <x:c r="E36" s="2"/>
      <x:c r="F36" s="2"/>
      <x:c r="G36" s="2"/>
      <x:c r="H36" s="2"/>
    </x:row>
    <x:row r="37" ht="27" customHeight="1">
      <x:c r="B37" s="29" t="str">
        <x:v>Pilot tiền mặt (phương án thay thế)</x:v>
      </x:c>
      <x:c r="C37" s="29"/>
      <x:c r="D37" s="29"/>
      <x:c r="E37" s="29"/>
      <x:c r="F37" s="29"/>
      <x:c r="G37" s="29"/>
      <x:c r="H37" s="29"/>
    </x:row>
    <x:row r="38" ht="40" customHeight="1">
      <x:c r="B38" s="12" t="str">
        <x:v>Pilot tiền mặt</x:v>
      </x:c>
      <x:c r="C38" s="9" t="n">
        <x:v>20</x:v>
      </x:c>
      <x:c r="D38" s="9" t="n">
        <x:v>25</x:v>
      </x:c>
      <x:c r="E38" s="2" t="n">
        <x:f>C38*(1+$E$9)</x:f>
        <x:v>24</x:v>
      </x:c>
      <x:c r="F38" s="2" t="n">
        <x:f>D38*(1+$E$9)</x:f>
        <x:v>30</x:v>
      </x:c>
      <x:c r="G38" s="2" t="n">
        <x:f>IF(OR($E$6&lt;=0,$E$7&lt;=0,$E$8&lt;=0),"Chưa đủ dữ liệu",ROUNDUP(E38/($E$6*$E$7*$E$8)+$E$13,0))</x:f>
        <x:v>6</x:v>
      </x:c>
      <x:c r="H38" s="2" t="n">
        <x:f>IF(OR($E$6&lt;=0,$E$7&lt;=0,$E$8&lt;=0),"Chưa đủ dữ liệu",ROUNDUP(F38/($E$6*$E$7*$E$8)+$F$13,0))</x:f>
        <x:v>8</x:v>
      </x:c>
    </x:row>
    <x:row r="39" ht="22" customHeight="1">
      <x:c r="B39" s="2"/>
      <x:c r="C39" s="2"/>
      <x:c r="D39" s="2"/>
      <x:c r="E39" s="2"/>
      <x:c r="F39" s="2"/>
      <x:c r="G39" s="2"/>
      <x:c r="H39" s="2"/>
    </x:row>
    <x:row r="40" ht="22" customHeight="1">
      <x:c r="B40" s="2"/>
      <x:c r="C40" s="2"/>
      <x:c r="D40" s="2"/>
      <x:c r="E40" s="2"/>
      <x:c r="F40" s="2"/>
      <x:c r="G40" s="2"/>
      <x:c r="H40" s="2"/>
    </x:row>
    <x:row r="41" ht="34" customHeight="1">
      <x:c r="B41"/>
      <x:c r="C41"/>
      <x:c r="D41" s="8" t="str">
        <x:v>Nội dung</x:v>
      </x:c>
      <x:c r="E41" s="8" t="str"/>
      <x:c r="F41" s="8" t="str"/>
      <x:c r="G41" s="8" t="str"/>
      <x:c r="H41" s="8" t="str">
        <x:v>Giả định và cách sử dụng</x:v>
      </x:c>
    </x:row>
    <x:row r="42" ht="72" customHeight="1">
      <x:c r="B42"/>
      <x:c r="C42"/>
      <x:c r="D42" s="13" t="str">
        <x:v>Cách tính</x:v>
      </x:c>
      <x:c r="E42" s="13"/>
      <x:c r="F42" s="13"/>
      <x:c r="G42" s="13"/>
      <x:c r="H42" s="13" t="str">
        <x:v>Ngày công đã gồm tự kiểm thử và tài liệu. Cộng dự phòng kỹ thuật, chia cho ngày làm việc thực tế mỗi tuần, rồi cộng thời gian chạy thử. Mỗi giai đoạn được làm tròn lên theo tuần.</x:v>
      </x:c>
    </x:row>
    <x:row r="43" ht="58" customHeight="1">
      <x:c r="B43"/>
      <x:c r="C43"/>
      <x:c r="D43" s="13" t="str">
        <x:v>Phạm vi pilot</x:v>
      </x:c>
      <x:c r="E43" s="13"/>
      <x:c r="F43" s="13"/>
      <x:c r="G43" s="13"/>
      <x:c r="H43" s="13" t="str">
        <x:v>Pilot cốt lõi có ví, QR, đối soát và năm ngôn ngữ. Voucher, giới thiệu bạn bè, điểm và vòng quay nằm ở giai đoạn mở rộng.</x:v>
      </x:c>
    </x:row>
    <x:row r="44" ht="58" customHeight="1">
      <x:c r="B44"/>
      <x:c r="C44"/>
      <x:c r="D44" s="13" t="str">
        <x:v>Pilot tiền mặt</x:v>
      </x:c>
      <x:c r="E44" s="13"/>
      <x:c r="F44" s="13"/>
      <x:c r="G44" s="13"/>
      <x:c r="H44" s="13" t="str">
        <x:v>Chỉ dùng khi khách đồng ý giảm phạm vi. Chưa có ví, marketing và đủ năm ngôn ngữ. Không cộng dòng này vào tổng P0 đến P13.</x:v>
      </x:c>
    </x:row>
    <x:row r="45" ht="58" customHeight="1">
      <x:c r="B45"/>
      <x:c r="C45"/>
      <x:c r="D45" s="13" t="str">
        <x:v>Phân bổ thời gian</x:v>
      </x:c>
      <x:c r="E45" s="13"/>
      <x:c r="F45" s="13"/>
      <x:c r="G45" s="13"/>
      <x:c r="H45" s="13" t="str">
        <x:v>Nếu dev chỉ dành 60% thời gian cho dự án, sửa ô E8 thành 60%. Ngày công giữ nguyên; số tuần sẽ tăng. Số dev giữ ở một người.</x:v>
      </x:c>
    </x:row>
    <x:row r="46" ht="58" customHeight="1">
      <x:c r="B46"/>
      <x:c r="C46"/>
      <x:c r="D46" s="13" t="str">
        <x:v>Giờ làm việc</x:v>
      </x:c>
      <x:c r="E46" s="13"/>
      <x:c r="F46" s="13"/>
      <x:c r="G46" s="13"/>
      <x:c r="H46" s="13" t="str">
        <x:v>Một ngày công tương đương khoảng sáu giờ tập trung. Ô giờ/ngày mô tả quy ước; lịch tính theo ngày công, không dùng để tăng công suất ngầm.</x:v>
      </x:c>
    </x:row>
    <x:row r="47" ht="58" customHeight="1">
      <x:c r="B47"/>
      <x:c r="C47"/>
      <x:c r="D47" s="13" t="str">
        <x:v>Đăng nhập</x:v>
      </x:c>
      <x:c r="E47" s="13"/>
      <x:c r="F47" s="13"/>
      <x:c r="G47" s="13"/>
      <x:c r="H47" s="13" t="str">
        <x:v>Ưu tiên một cách đăng nhập chung đã xác thực, tận dụng LINE nếu khách đồng ý. Đăng ký OTP và phục hồi tài khoản độc lập LINE có thể thêm 5 đến 8 ngày công.</x:v>
      </x:c>
    </x:row>
    <x:row r="48" ht="58" customHeight="1">
      <x:c r="B48"/>
      <x:c r="C48"/>
      <x:c r="D48" s="13" t="str">
        <x:v>Dữ liệu và ngôn ngữ</x:v>
      </x:c>
      <x:c r="E48" s="13"/>
      <x:c r="F48" s="13"/>
      <x:c r="G48" s="13"/>
      <x:c r="H48" s="13" t="str">
        <x:v>Khách cung cấp menu, mapping món, thiết bị và người duyệt bản dịch. Thời gian chờ các đầu vào này chưa tính vào lịch.</x:v>
      </x:c>
    </x:row>
    <x:row r="49" ht="58" customHeight="1">
      <x:c r="B49"/>
      <x:c r="C49"/>
      <x:c r="D49" s="13" t="str">
        <x:v>Mở điểm trước marketing</x:v>
      </x:c>
      <x:c r="E49" s="13"/>
      <x:c r="F49" s="13"/>
      <x:c r="G49" s="13"/>
      <x:c r="H49" s="13" t="str">
        <x:v>Có thể đưa P12 và phần kiểm thử tải của P13 lên trước. Khi đó là 20 điểm vận hành cốt lõi; cần chốt lại lịch và phạm vi.</x:v>
      </x:c>
    </x:row>
    <x:row r="50" ht="58" customHeight="1">
      <x:c r="B50"/>
      <x:c r="C50"/>
      <x:c r="D50" s="13" t="str">
        <x:v>Cơ sở báo giá</x:v>
      </x:c>
      <x:c r="E50" s="13"/>
      <x:c r="F50" s="13"/>
      <x:c r="G50" s="13"/>
      <x:c r="H50" s="13" t="str">
        <x:v>Chưa có đơn giá ngày công. Phí triển khai gồm ngày công đã thống nhất nhân đơn giá, cộng hạng mục ngoài công. Giai đoạn mở rộng chỉ tính phần bổ sung.</x:v>
      </x:c>
    </x:row>
    <x:row r="51" ht="58" customHeight="1">
      <x:c r="B51"/>
      <x:c r="C51"/>
      <x:c r="D51" s="13" t="str">
        <x:v>Chi phí riêng</x:v>
      </x:c>
      <x:c r="E51" s="13"/>
      <x:c r="F51" s="13"/>
      <x:c r="G51" s="13"/>
      <x:c r="H51" s="13" t="str">
        <x:v>Tách thiết bị, giấy in, hosting, domain, OTP nếu dùng, duyệt bản dịch, hỗ trợ hiện trường và bảo trì. Chiết khấu hoặc khấu trừ phí pilot cần được bên cung cấp chốt.</x:v>
      </x:c>
    </x:row>
    <x:row r="52" ht="22" customHeight="1">
      <x:c r="B52" s="2"/>
      <x:c r="C52" s="2"/>
      <x:c r="D52" s="2"/>
      <x:c r="E52" s="2"/>
      <x:c r="F52" s="2"/>
      <x:c r="G52" s="2"/>
      <x:c r="H52" s="2"/>
    </x:row>
    <x:row r="53" ht="22" customHeight="1">
      <x:c r="B53" s="2"/>
      <x:c r="C53" s="2"/>
      <x:c r="D53" s="2"/>
      <x:c r="E53" s="2"/>
      <x:c r="F53" s="2"/>
      <x:c r="G53" s="2"/>
      <x:c r="H53" s="2"/>
    </x:row>
    <x:row r="54" ht="22" customHeight="1">
      <x:c r="B54" s="2"/>
      <x:c r="C54" s="2"/>
      <x:c r="D54" s="2"/>
      <x:c r="E54" s="2"/>
      <x:c r="F54" s="2"/>
      <x:c r="G54" s="2"/>
      <x:c r="H54" s="2"/>
    </x:row>
    <x:row r="55" ht="22" customHeight="1">
      <x:c r="B55" s="2"/>
      <x:c r="C55" s="2"/>
      <x:c r="D55" s="2"/>
      <x:c r="E55" s="2"/>
      <x:c r="F55" s="2"/>
      <x:c r="G55" s="2"/>
      <x:c r="H55" s="2"/>
    </x:row>
    <x:row r="56" ht="22" customHeight="1">
      <x:c r="B56" s="2"/>
      <x:c r="C56" s="2"/>
      <x:c r="D56" s="2"/>
      <x:c r="E56" s="2"/>
      <x:c r="F56" s="2"/>
      <x:c r="G56" s="2"/>
      <x:c r="H56" s="2"/>
    </x:row>
    <x:row r="57" ht="22" customHeight="1">
      <x:c r="B57" s="2"/>
      <x:c r="C57" s="2"/>
      <x:c r="D57" s="2"/>
      <x:c r="E57" s="2"/>
      <x:c r="F57" s="2"/>
      <x:c r="G57" s="2"/>
      <x:c r="H57" s="2"/>
    </x:row>
    <x:row r="58" ht="22" customHeight="1">
      <x:c r="B58" s="2"/>
      <x:c r="C58" s="2"/>
      <x:c r="D58" s="2"/>
      <x:c r="E58" s="2"/>
      <x:c r="F58" s="2"/>
      <x:c r="G58" s="2"/>
      <x:c r="H58" s="2"/>
    </x:row>
    <x:row r="59" ht="22" customHeight="1">
      <x:c r="B59" s="2"/>
      <x:c r="C59" s="2"/>
      <x:c r="D59" s="2"/>
      <x:c r="E59" s="2"/>
      <x:c r="F59" s="2"/>
      <x:c r="G59" s="2"/>
      <x:c r="H59" s="2"/>
    </x:row>
    <x:row r="60" ht="22" customHeight="1">
      <x:c r="B60" s="2"/>
      <x:c r="C60" s="2"/>
      <x:c r="D60" s="2"/>
      <x:c r="E60" s="2"/>
      <x:c r="F60" s="2"/>
      <x:c r="G60" s="2"/>
      <x:c r="H60" s="2"/>
    </x:row>
    <x:row r="61" ht="22" customHeight="1">
      <x:c r="B61" s="2"/>
      <x:c r="C61" s="2"/>
      <x:c r="D61" s="2"/>
      <x:c r="E61" s="2"/>
      <x:c r="F61" s="2"/>
      <x:c r="G61" s="2"/>
      <x:c r="H61" s="2"/>
    </x:row>
    <x:row r="62" ht="22" customHeight="1">
      <x:c r="B62" s="2"/>
      <x:c r="C62" s="2"/>
      <x:c r="D62" s="2"/>
      <x:c r="E62" s="2"/>
      <x:c r="F62" s="2"/>
      <x:c r="G62" s="2"/>
      <x:c r="H62" s="2"/>
    </x:row>
    <x:row r="63" ht="22" customHeight="1">
      <x:c r="B63" s="2"/>
      <x:c r="C63" s="2"/>
      <x:c r="D63" s="2"/>
      <x:c r="E63" s="2"/>
      <x:c r="F63" s="2"/>
      <x:c r="G63" s="2"/>
      <x:c r="H63" s="2"/>
    </x:row>
    <x:row r="64" ht="22" customHeight="1">
      <x:c r="B64" s="2"/>
      <x:c r="C64" s="2"/>
      <x:c r="D64" s="2"/>
      <x:c r="E64" s="2"/>
      <x:c r="F64" s="2"/>
      <x:c r="G64" s="2"/>
      <x:c r="H64" s="2"/>
    </x:row>
    <x:row r="65" ht="22" customHeight="1">
      <x:c r="B65" s="2"/>
      <x:c r="C65" s="2"/>
      <x:c r="D65" s="2"/>
      <x:c r="E65" s="2"/>
      <x:c r="F65" s="2"/>
      <x:c r="G65" s="2"/>
      <x:c r="H65" s="2"/>
    </x:row>
    <x:row r="66" ht="22" customHeight="1">
      <x:c r="B66" s="2"/>
      <x:c r="C66" s="2"/>
      <x:c r="D66" s="2"/>
      <x:c r="E66" s="2"/>
      <x:c r="F66" s="2"/>
      <x:c r="G66" s="2"/>
      <x:c r="H66" s="2"/>
    </x:row>
    <x:row r="67" ht="22" customHeight="1">
      <x:c r="B67" s="2"/>
      <x:c r="C67" s="2"/>
      <x:c r="D67" s="2"/>
      <x:c r="E67" s="2"/>
      <x:c r="F67" s="2"/>
      <x:c r="G67" s="2"/>
      <x:c r="H67" s="2"/>
    </x:row>
  </x:sheetData>
  <x:dataValidations count="4">
    <x:dataValidation type="whole" operator="equal" sqref="E6">
      <x:formula1>1</x:formula1>
    </x:dataValidation>
    <x:dataValidation type="whole" operator="between" sqref="E7">
      <x:formula1>1</x:formula1>
      <x:formula2>7</x:formula2>
    </x:dataValidation>
    <x:dataValidation type="decimal" operator="between" sqref="E8">
      <x:formula1>0.01</x:formula1>
      <x:formula2>1</x:formula2>
    </x:dataValidation>
    <x:dataValidation type="decimal" operator="between" sqref="E9">
      <x:formula1>0</x:formula1>
      <x:formula2>1</x:formula2>
    </x:dataValidation>
  </x:dataValidations>
  <x:pageMargins left="0.7" right="0.7" top="0.75" bottom="0.75" header="0.3" footer="0.3"/>
  <x:tableParts count="1">
    <x:tablePart xmlns:r="http://schemas.openxmlformats.org/officeDocument/2006/relationships" r:id="R0ad2d4b88d49424b"/>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 hidden="0" customWidth="1"/>
    <x:col min="2" max="2" width="9" hidden="0" customWidth="1"/>
    <x:col min="3" max="3" width="43" hidden="0" customWidth="1"/>
    <x:col min="4" max="4" width="25" hidden="0" customWidth="1"/>
    <x:col min="5" max="5" width="84" hidden="0" customWidth="1"/>
    <x:col min="6" max="6" width="19" hidden="0" customWidth="1"/>
    <x:col min="7" max="7" width="3" hidden="0" customWidth="1"/>
    <x:col min="8" max="8" width="62" hidden="0" customWidth="1"/>
  </x:cols>
  <x:sheetData>
    <x:row r="2" ht="30" customHeight="1">
      <x:c r="B2" s="3" t="str">
        <x:v>Đối chiếu yêu cầu với Benmi</x:v>
      </x:c>
      <x:c r="C2" s="2"/>
      <x:c r="D2" s="2"/>
      <x:c r="E2" s="2"/>
      <x:c r="F2" s="2"/>
      <x:c r="G2" s="2"/>
      <x:c r="H2" s="2"/>
    </x:row>
    <x:row r="3" ht="22" customHeight="1">
      <x:c r="B3" s="4"/>
      <x:c r="C3" s="4"/>
      <x:c r="D3" s="4"/>
      <x:c r="E3" s="4"/>
      <x:c r="F3" s="4"/>
      <x:c r="G3" s="4"/>
      <x:c r="H3" s="4"/>
    </x:row>
    <x:row r="4" ht="22" customHeight="1">
      <x:c r="B4" s="11" t="str">
        <x:v>Đánh giá mã nguồn ngày 19/10/2026. Chưa xác minh bản đang chạy trên production.</x:v>
      </x:c>
      <x:c r="C4" s="2"/>
      <x:c r="D4" s="2"/>
      <x:c r="E4" s="2"/>
      <x:c r="F4" s="2"/>
      <x:c r="G4" s="2"/>
      <x:c r="H4" s="2"/>
    </x:row>
    <x:row r="5" ht="22" customHeight="1">
      <x:c r="B5" s="2"/>
      <x:c r="C5" s="2"/>
      <x:c r="D5" s="2"/>
      <x:c r="E5" s="2"/>
      <x:c r="F5" s="2"/>
      <x:c r="G5" s="2"/>
      <x:c r="H5" s="2"/>
    </x:row>
    <x:row r="6" ht="34" customHeight="1">
      <x:c r="B6" s="8" t="str">
        <x:v>Mã</x:v>
      </x:c>
      <x:c r="C6" s="8" t="str">
        <x:v>Yêu cầu</x:v>
      </x:c>
      <x:c r="D6" s="8" t="str">
        <x:v>Hiện trạng</x:v>
      </x:c>
      <x:c r="E6" s="8" t="str">
        <x:v>Phần có sẵn và việc cần làm</x:v>
      </x:c>
      <x:c r="F6" s="8" t="str">
        <x:v>Giai đoạn</x:v>
      </x:c>
      <x:c r="G6"/>
      <x:c r="H6" s="8" t="str">
        <x:v>Bằng chứng mã nguồn</x:v>
      </x:c>
    </x:row>
    <x:row r="7" ht="96" customHeight="1">
      <x:c r="B7" s="14" t="str">
        <x:v>YC01</x:v>
      </x:c>
      <x:c r="C7" s="14" t="str">
        <x:v>Điểm có tên/logo/menu/giá/giờ riêng</x:v>
      </x:c>
      <x:c r="D7" s="14" t="str">
        <x:v>Có nền tảng</x:v>
      </x:c>
      <x:c r="E7" s="14" t="str">
        <x:v>tenant_config, catalog theo tenant_id, bootstrap và màn hình cấu hình. Cần kiểm thử onboarding 20 điểm và quyền thuộc cùng doanh nghiệp.</x:v>
      </x:c>
      <x:c r="F7" s="14" t="str">
        <x:v>Pilot</x:v>
      </x:c>
      <x:c r="G7"/>
      <x:c r="H7" s="14" t="str">
        <x:v>E1: benmi-order/benmi-worker-official/src/modules/bootstrap.ts:42
benmi-order/benmi-worker-official/migrations/0001_initialize_menu_tables.sql:22
benmi-order/benmi-worker-official/src/modules/config.ts:65</x:v>
      </x:c>
    </x:row>
    <x:row r="8" ht="68" customHeight="1">
      <x:c r="B8" s="15" t="str">
        <x:v>YC02</x:v>
      </x:c>
      <x:c r="C8" s="15" t="str">
        <x:v>Tổng bộ quản lý chuỗi nhiều thương hiệu</x:v>
      </x:c>
      <x:c r="D8" s="15" t="str">
        <x:v>Cần mở rộng</x:v>
      </x:c>
      <x:c r="E8" s="15" t="str">
        <x:v>Có admin tạo/quản lý tenant; chưa thấy mô hình doanh nghiệp sở hữu nhiều điểm, quyền tổng bộ hay dashboard vận hành hợp nhất.</x:v>
      </x:c>
      <x:c r="F8" s="15" t="str">
        <x:v>Pilot / Mở rộng</x:v>
      </x:c>
      <x:c r="G8"/>
      <x:c r="H8" s="15" t="str">
        <x:v>E2: benmi-order/benmi-worker-official/src/modules/admin.ts:13
blab_admin/src/types/index.ts:33
blab_admin/worker/auth.ts:4</x:v>
      </x:c>
    </x:row>
    <x:row r="9" ht="40" customHeight="1">
      <x:c r="B9" s="14" t="str">
        <x:v>YC03</x:v>
      </x:c>
      <x:c r="C9" s="14" t="str">
        <x:v>Web đặt món, không cài ứng dụng khách hàng</x:v>
      </x:c>
      <x:c r="D9" s="14" t="str">
        <x:v>Có nền tảng</x:v>
      </x:c>
      <x:c r="E9" s="14" t="str">
        <x:v>Web/LIFF và đăng nhập LINE đã có. Chưa có hội viên chung được xác thực cho ví xuyên thương hiệu; cần chốt phương thức đăng nhập.</x:v>
      </x:c>
      <x:c r="F9" s="14" t="str">
        <x:v>Pilot</x:v>
      </x:c>
      <x:c r="G9"/>
      <x:c r="H9" s="14" t="str">
        <x:v>E3: benmi-order/js/client-core.js:736
benmi-order/js/client-checkout.js:1732</x:v>
      </x:c>
    </x:row>
    <x:row r="10" ht="54" customHeight="1">
      <x:c r="B10" s="15" t="str">
        <x:v>YC04</x:v>
      </x:c>
      <x:c r="C10" s="15" t="str">
        <x:v>Đặt trước theo ngày/giờ</x:v>
      </x:c>
      <x:c r="D10" s="15" t="str">
        <x:v>Cần mở rộng</x:v>
      </x:c>
      <x:c r="E10" s="15" t="str">
        <x:v>Có allowScheduledPickup, date/time picker, kiểm tra giờ mở cửa ở frontend. Chưa có ca nhận hàng, hạn chót riêng từng ca và khóa server theo thời điểm.</x:v>
      </x:c>
      <x:c r="F10" s="15" t="str">
        <x:v>Pilot</x:v>
      </x:c>
      <x:c r="G10"/>
      <x:c r="H10" s="15" t="str">
        <x:v>E4: benmi-order/js/client-checkout.js:1433
benmi-order/benmi-worker-official/src/modules/orders.ts:372</x:v>
      </x:c>
    </x:row>
    <x:row r="11" ht="54" customHeight="1">
      <x:c r="B11" s="14" t="str">
        <x:v>YC05</x:v>
      </x:c>
      <x:c r="C11" s="14" t="str">
        <x:v>Báo cáo chuẩn bị suất ăn gộp 20 điểm</x:v>
      </x:c>
      <x:c r="D11" s="14" t="str">
        <x:v>Cần xây mới</x:v>
      </x:c>
      <x:c r="E11" s="14" t="str">
        <x:v>Báo cáo hiện tại lọc một tenant, trạng thái DONE/PICKED_UP/PAID, thời điểm tạo đơn và nhóm theo tên món. Không thể dùng nguyên trạng làm phiếu sản xuất đơn đặt trước.</x:v>
      </x:c>
      <x:c r="F11" s="14" t="str">
        <x:v>Pilot</x:v>
      </x:c>
      <x:c r="G11"/>
      <x:c r="H11" s="14" t="str">
        <x:v>E5: benmi-order/benmi-worker-official/src/modules/reports.ts:51</x:v>
      </x:c>
    </x:row>
    <x:row r="12" ht="40" customHeight="1">
      <x:c r="B12" s="15" t="str">
        <x:v>YC06</x:v>
      </x:c>
      <x:c r="C12" s="15" t="str">
        <x:v>Phiếu soạn hàng theo tài xế/chuyến/điểm</x:v>
      </x:c>
      <x:c r="D12" s="15" t="str">
        <x:v>Chưa có trong mã đã rà soát</x:v>
      </x:c>
      <x:c r="E12" s="15" t="str">
        <x:v>Chưa có thực thể tuyến, chuyến, điểm dừng, phân công và bản chốt hàng.</x:v>
      </x:c>
      <x:c r="F12" s="15" t="str">
        <x:v>Pilot</x:v>
      </x:c>
      <x:c r="G12"/>
      <x:c r="H12" s="15" t="str">
        <x:v>Rà soát router, modules, migrations và giao diện trong benmi-order, blab_admin; chưa thấy luồng tương ứng.</x:v>
      </x:c>
    </x:row>
    <x:row r="13" ht="82" customHeight="1">
      <x:c r="B13" s="14" t="str">
        <x:v>YC07</x:v>
      </x:c>
      <x:c r="C13" s="14" t="str">
        <x:v>Tài khoản tài xế và hạn chế điểm, khóa xóa/sửa giá</x:v>
      </x:c>
      <x:c r="D13" s="14" t="str">
        <x:v>Cần mở rộng</x:v>
      </x:c>
      <x:c r="E13" s="14" t="str">
        <x:v>POS xác thực PIN cửa hàng. Có migration staff_sessions nhưng router hiện tại không triển khai luồng session/phân quyền tài xế đó.</x:v>
      </x:c>
      <x:c r="F13" s="14" t="str">
        <x:v>Pilot</x:v>
      </x:c>
      <x:c r="G13"/>
      <x:c r="H13" s="14" t="str">
        <x:v>E6: benmi-order/benmi-worker-official/src/modules/auth.ts:22
benmi-order/benmi-worker-official/src/index.ts:65
benmi-order/benmi-worker-official/migrations/0057_create_staff_ordering_and_tables.sql:25</x:v>
      </x:c>
    </x:row>
    <x:row r="14" ht="40" customHeight="1">
      <x:c r="B14" s="15" t="str">
        <x:v>YC08</x:v>
      </x:c>
      <x:c r="C14" s="15" t="str">
        <x:v>Năm ngôn ngữ đầy đủ phía khách</x:v>
      </x:c>
      <x:c r="D14" s="15" t="str">
        <x:v>Cần mở rộng</x:v>
      </x:c>
      <x:c r="E14" s="15" t="str">
        <x:v>POS có từ điển zh-TW/vi; frontend khách vẫn có nhiều chuỗi tiếng Trung trực tiếp. Một số mô tả song ngữ không phải hệ i18n 5 ngôn ngữ.</x:v>
      </x:c>
      <x:c r="F14" s="15" t="str">
        <x:v>Pilot</x:v>
      </x:c>
      <x:c r="G14"/>
      <x:c r="H14" s="15" t="str">
        <x:v>E7: benmi-order/js/orders-i18n.js:1283
benmi-order/js/client-checkout.js:1449</x:v>
      </x:c>
    </x:row>
    <x:row r="15" ht="40" customHeight="1">
      <x:c r="B15" s="14" t="str">
        <x:v>YC09</x:v>
      </x:c>
      <x:c r="C15" s="14" t="str">
        <x:v>Hội viên dùng chung 20 điểm</x:v>
      </x:c>
      <x:c r="D15" s="14" t="str">
        <x:v>Chưa có trong mã đã rà soát</x:v>
      </x:c>
      <x:c r="E15" s="14" t="str">
        <x:v>Có user_id/tên khách trên đơn và LINE profile; chưa có tài khoản hội viên ở cấp doanh nghiệp, liên kết danh tính và lịch sử ví.</x:v>
      </x:c>
      <x:c r="F15" s="14" t="str">
        <x:v>Pilot</x:v>
      </x:c>
      <x:c r="G15"/>
      <x:c r="H15" s="14" t="str">
        <x:v>Rà soát router, modules, migrations và giao diện trong benmi-order, blab_admin; chưa thấy luồng tương ứng.</x:v>
      </x:c>
    </x:row>
    <x:row r="16" ht="40" customHeight="1">
      <x:c r="B16" s="15" t="str">
        <x:v>YC10</x:v>
      </x:c>
      <x:c r="C16" s="15" t="str">
        <x:v>Quà đăng ký 100 voucher, ngưỡng và hạn 180 ngày</x:v>
      </x:c>
      <x:c r="D16" s="15" t="str">
        <x:v>Chưa có trong mã đã rà soát</x:v>
      </x:c>
      <x:c r="E16" s="15" t="str">
        <x:v>Cần campaign, phát phiếu một lần, đặt giữ/sử dụng/hoàn phiếu và hết hạn.</x:v>
      </x:c>
      <x:c r="F16" s="15" t="str">
        <x:v>Mở rộng</x:v>
      </x:c>
      <x:c r="G16"/>
      <x:c r="H16" s="15" t="str">
        <x:v>Rà soát router, modules, migrations và giao diện trong benmi-order, blab_admin; chưa thấy luồng tương ứng.</x:v>
      </x:c>
    </x:row>
    <x:row r="17" ht="40" customHeight="1">
      <x:c r="B17" s="14" t="str">
        <x:v>YC11</x:v>
      </x:c>
      <x:c r="C17" s="14" t="str">
        <x:v>MGM thưởng 30 sau đơn đầu đã nhận</x:v>
      </x:c>
      <x:c r="D17" s="14" t="str">
        <x:v>Chưa có trong mã đã rà soát</x:v>
      </x:c>
      <x:c r="E17" s="14" t="str">
        <x:v>Cần attribution, sự kiện giao thành công và chống nhận thưởng nhiều lần.</x:v>
      </x:c>
      <x:c r="F17" s="14" t="str">
        <x:v>Mở rộng</x:v>
      </x:c>
      <x:c r="G17"/>
      <x:c r="H17" s="14" t="str">
        <x:v>Rà soát router, modules, migrations và giao diện trong benmi-order, blab_admin; chưa thấy luồng tương ứng.</x:v>
      </x:c>
    </x:row>
    <x:row r="18" ht="40" customHeight="1">
      <x:c r="B18" s="15" t="str">
        <x:v>YC12</x:v>
      </x:c>
      <x:c r="C18" s="15" t="str">
        <x:v>Điểm chung, hết hạn 90 ngày, đổi hiện vật</x:v>
      </x:c>
      <x:c r="D18" s="15" t="str">
        <x:v>Chưa có trong mã đã rà soát</x:v>
      </x:c>
      <x:c r="E18" s="15" t="str">
        <x:v>Cần sổ điểm theo đợt cấp, thời hạn, đổi quà và tồn quà theo chuyến/điểm.</x:v>
      </x:c>
      <x:c r="F18" s="15" t="str">
        <x:v>Mở rộng</x:v>
      </x:c>
      <x:c r="G18"/>
      <x:c r="H18" s="15" t="str">
        <x:v>Rà soát router, modules, migrations và giao diện trong benmi-order, blab_admin; chưa thấy luồng tương ứng.</x:v>
      </x:c>
    </x:row>
    <x:row r="19" ht="40" customHeight="1">
      <x:c r="B19" s="14" t="str">
        <x:v>YC13</x:v>
      </x:c>
      <x:c r="C19" s="14" t="str">
        <x:v>Vòng quay đa ngôn ngữ</x:v>
      </x:c>
      <x:c r="D19" s="14" t="str">
        <x:v>Chưa có trong mã đã rà soát</x:v>
      </x:c>
      <x:c r="E19" s="14" t="str">
        <x:v>Cần xác định lượt quay, xác suất, tồn giải, quyết định kết quả tại server và lịch sử trao thưởng.</x:v>
      </x:c>
      <x:c r="F19" s="14" t="str">
        <x:v>Mở rộng</x:v>
      </x:c>
      <x:c r="G19"/>
      <x:c r="H19" s="14" t="str">
        <x:v>Rà soát router, modules, migrations và giao diện trong benmi-order, blab_admin; chưa thấy luồng tương ứng.</x:v>
      </x:c>
    </x:row>
    <x:row r="20" ht="40" customHeight="1">
      <x:c r="B20" s="15" t="str">
        <x:v>YC14</x:v>
      </x:c>
      <x:c r="C20" s="15" t="str">
        <x:v>Ví nạp tiền mặt dùng chung 20 thương hiệu</x:v>
      </x:c>
      <x:c r="D20" s="15" t="str">
        <x:v>Chưa có trong mã đã rà soát</x:v>
      </x:c>
      <x:c r="E20" s="15" t="str">
        <x:v>Phải xây sổ giao dịch, số dư, đối soát, hoàn/đảo giao dịch và phân biệt tiền nạp với tiền tặng.</x:v>
      </x:c>
      <x:c r="F20" s="15" t="str">
        <x:v>Pilot</x:v>
      </x:c>
      <x:c r="G20"/>
      <x:c r="H20" s="15" t="str">
        <x:v>Rà soát router, modules, migrations và giao diện trong benmi-order, blab_admin; chưa thấy luồng tương ứng.</x:v>
      </x:c>
    </x:row>
    <x:row r="21" ht="40" customHeight="1">
      <x:c r="B21" s="14" t="str">
        <x:v>YC15</x:v>
      </x:c>
      <x:c r="C21" s="14" t="str">
        <x:v>Nút nạp 1.000 nhận 1.100</x:v>
      </x:c>
      <x:c r="D21" s="14" t="str">
        <x:v>Chưa có trong mã đã rà soát</x:v>
      </x:c>
      <x:c r="E21" s="14" t="str">
        <x:v>Cần gói nạp cấu hình, quyền thao tác, xác nhận tiền đã nhận và khóa số tiền tại server.</x:v>
      </x:c>
      <x:c r="F21" s="14" t="str">
        <x:v>Pilot</x:v>
      </x:c>
      <x:c r="G21"/>
      <x:c r="H21" s="14" t="str">
        <x:v>Rà soát router, modules, migrations và giao diện trong benmi-order, blab_admin; chưa thấy luồng tương ứng.</x:v>
      </x:c>
    </x:row>
    <x:row r="22" ht="40" customHeight="1">
      <x:c r="B22" s="15" t="str">
        <x:v>YC16</x:v>
      </x:c>
      <x:c r="C22" s="15" t="str">
        <x:v>Quét QR trừ tiền và giao hàng, nhiều tài xế</x:v>
      </x:c>
      <x:c r="D22" s="15" t="str">
        <x:v>Chưa có trong mã đã rà soát</x:v>
      </x:c>
      <x:c r="E22" s="15" t="str">
        <x:v>QR hiện tìm thấy là mã mở trang menu trên điện thoại; không phải QR nhận hàng hay ví.</x:v>
      </x:c>
      <x:c r="F22" s="15" t="str">
        <x:v>Pilot</x:v>
      </x:c>
      <x:c r="G22"/>
      <x:c r="H22" s="15" t="str">
        <x:v>E8: benmi-order/js/client-core.js:578</x:v>
      </x:c>
    </x:row>
    <x:row r="23" ht="40" customHeight="1">
      <x:c r="B23" s="14" t="str">
        <x:v>YC17</x:v>
      </x:c>
      <x:c r="C23" s="14" t="str">
        <x:v>Báo cáo ca tài xế và tiền phải nộp</x:v>
      </x:c>
      <x:c r="D23" s="14" t="str">
        <x:v>Chưa có trong mã đã rà soát</x:v>
      </x:c>
      <x:c r="E23" s="14" t="str">
        <x:v>"Bắt đầu ca" ở POS hiện thiên về kích hoạt giao diện/âm báo; chưa có ca tài chính gắn người thu tiền.</x:v>
      </x:c>
      <x:c r="F23" s="14" t="str">
        <x:v>Pilot</x:v>
      </x:c>
      <x:c r="G23"/>
      <x:c r="H23" s="14" t="str">
        <x:v>Rà soát router, modules, migrations và giao diện trong benmi-order, blab_admin; chưa thấy luồng tương ứng.</x:v>
      </x:c>
    </x:row>
    <x:row r="24" ht="152" customHeight="1">
      <x:c r="B24" s="15" t="str">
        <x:v>YC18</x:v>
      </x:c>
      <x:c r="C24" s="15" t="str">
        <x:v>POS bán khách vãng lai và tách doanh thu</x:v>
      </x:c>
      <x:c r="D24" s="15" t="str">
        <x:v>Cần mở rộng</x:v>
      </x:c>
      <x:c r="E24" s="15" t="str">
        <x:v>Có xử lý trạng thái PAID/PICKED_UP; chưa thấy checkout tiền mặt của tài xế, giao dịch thu tiền hay báo cáo tách nguồn. Cột orders.source trong migration chưa đủ chứng minh đã triển khai.</x:v>
      </x:c>
      <x:c r="F24" s="15" t="str">
        <x:v>Pilot</x:v>
      </x:c>
      <x:c r="G24"/>
      <x:c r="H24" s="15" t="str">
        <x:v>E6: benmi-order/benmi-worker-official/src/modules/auth.ts:22
benmi-order/benmi-worker-official/src/index.ts:65
benmi-order/benmi-worker-official/migrations/0057_create_staff_ordering_and_tables.sql:25
E9: benmi-order/benmi-worker-official/src/modules/orders.ts:514
benmi-order/benmi-worker-official/src/modules/orders.ts:566
benmi-order/js/orders-modals.js:411</x:v>
      </x:c>
    </x:row>
    <x:row r="25" ht="82" customHeight="1">
      <x:c r="B25" s="14" t="str">
        <x:v>YC19</x:v>
      </x:c>
      <x:c r="C25" s="14" t="str">
        <x:v>Máy in đơn và tem</x:v>
      </x:c>
      <x:c r="D25" s="14" t="str">
        <x:v>Cần mở rộng</x:v>
      </x:c>
      <x:c r="E25" s="14" t="str">
        <x:v>Android native bridge, ESC/POS, TSPL, TCP/Bluetooth, hàng đợi in. Browser thường có nhánh preview/mô phỏng; không thể cam kết PC/iPad in trực tiếp như Android.</x:v>
      </x:c>
      <x:c r="F25" s="14" t="str">
        <x:v>Pilot</x:v>
      </x:c>
      <x:c r="G25"/>
      <x:c r="H25" s="14" t="str">
        <x:v>E10: benmi-order/js/printer-service.js:1157
benmi-order/js/printer-service.js:1205
benmi-order/js/printer-service.js:1224
benmi-order/apps/android-pos/android/app/src/main/java/com/benmi/pos/ThermalPrinterPlugin.java:113</x:v>
      </x:c>
    </x:row>
    <x:row r="26" ht="82" customHeight="1">
      <x:c r="B26" s="15" t="str">
        <x:v>YC20</x:v>
      </x:c>
      <x:c r="C26" s="15" t="str">
        <x:v>Tem đủ mã/tên/điểm/ca/ghi chú bếp bằng Trung</x:v>
      </x:c>
      <x:c r="D26" s="15" t="str">
        <x:v>Cần mở rộng</x:v>
      </x:c>
      <x:c r="E26" s="15" t="str">
        <x:v>Tem món có mã, tên khách, thời gian và tùy biến; cần thêm điểm nhận rõ ràng, ca phục vụ và nhãn bếp tiếng Trung được chuẩn hóa.</x:v>
      </x:c>
      <x:c r="F26" s="15" t="str">
        <x:v>Pilot</x:v>
      </x:c>
      <x:c r="G26"/>
      <x:c r="H26" s="15" t="str">
        <x:v>E10: benmi-order/js/printer-service.js:1157
benmi-order/js/printer-service.js:1205
benmi-order/js/printer-service.js:1224
benmi-order/apps/android-pos/android/app/src/main/java/com/benmi/pos/ThermalPrinterPlugin.java:113</x:v>
      </x:c>
    </x:row>
    <x:row r="27" ht="40" customHeight="1">
      <x:c r="B27" s="14" t="str">
        <x:v>YC21</x:v>
      </x:c>
      <x:c r="C27" s="14" t="str">
        <x:v>20 điểm, gần 1.000 suất/ngày ổn định</x:v>
      </x:c>
      <x:c r="D27" s="14" t="str">
        <x:v>Cần kiểm thử</x:v>
      </x:c>
      <x:c r="E27" s="14" t="str">
        <x:v>Cần đo tải đồng thời, thời gian quét và tốc độ in thật. POS hiện polling 1,5 giây; không suy diễn thành realtime giao dịch tiền.</x:v>
      </x:c>
      <x:c r="F27" s="14" t="str">
        <x:v>Mở rộng</x:v>
      </x:c>
      <x:c r="G27"/>
      <x:c r="H27" s="14" t="str">
        <x:v>E11: benmi-order/js/orders-core.js:1058</x:v>
      </x:c>
    </x:row>
    <x:row r="28" ht="22" customHeight="1">
      <x:c r="B28" s="2"/>
      <x:c r="C28" s="2"/>
      <x:c r="D28" s="2"/>
      <x:c r="E28" s="2"/>
      <x:c r="F28" s="2"/>
      <x:c r="G28" s="2"/>
      <x:c r="H28" s="2"/>
    </x:row>
    <x:row r="29" ht="22" customHeight="1">
      <x:c r="B29" s="2"/>
      <x:c r="C29" s="2"/>
      <x:c r="D29" s="2"/>
      <x:c r="E29" s="2"/>
      <x:c r="F29" s="2"/>
      <x:c r="G29" s="2"/>
      <x:c r="H29" s="2"/>
    </x:row>
    <x:row r="30" ht="22" customHeight="1">
      <x:c r="B30" s="2"/>
      <x:c r="C30" s="2"/>
      <x:c r="D30" s="2"/>
      <x:c r="E30" s="2"/>
      <x:c r="F30" s="2"/>
      <x:c r="G30" s="2"/>
      <x:c r="H30" s="2"/>
    </x:row>
    <x:row r="31" ht="22" customHeight="1">
      <x:c r="B31" s="2"/>
      <x:c r="C31" s="2"/>
      <x:c r="D31" s="2"/>
      <x:c r="E31" s="2"/>
      <x:c r="F31" s="2"/>
      <x:c r="G31" s="2"/>
      <x:c r="H31" s="2"/>
    </x:row>
    <x:row r="32" ht="22" customHeight="1">
      <x:c r="B32" s="2"/>
      <x:c r="C32" s="2"/>
      <x:c r="D32" s="2"/>
      <x:c r="E32" s="2"/>
      <x:c r="F32" s="2"/>
      <x:c r="G32" s="2"/>
      <x:c r="H32" s="2"/>
    </x:row>
    <x:row r="33" ht="22" customHeight="1">
      <x:c r="B33" s="2"/>
      <x:c r="C33" s="2"/>
      <x:c r="D33" s="2"/>
      <x:c r="E33" s="2"/>
      <x:c r="F33" s="2"/>
      <x:c r="G33" s="2"/>
      <x:c r="H33" s="2"/>
    </x:row>
    <x:row r="34" ht="22" customHeight="1">
      <x:c r="B34" s="2"/>
      <x:c r="C34" s="2"/>
      <x:c r="D34" s="2"/>
      <x:c r="E34" s="2"/>
      <x:c r="F34" s="2"/>
      <x:c r="G34" s="2"/>
      <x:c r="H34" s="2"/>
    </x:row>
    <x:row r="35" ht="22" customHeight="1">
      <x:c r="B35" s="2"/>
      <x:c r="C35" s="2"/>
      <x:c r="D35" s="2"/>
      <x:c r="E35" s="2"/>
      <x:c r="F35" s="2"/>
      <x:c r="G35" s="2"/>
      <x:c r="H35" s="2"/>
    </x:row>
  </x:sheetData>
  <x:conditionalFormatting sqref="D7:D27">
    <x:cfRule type="containsText" dxfId="0" priority="1" operator="containsText" text="Có nền tảng"/>
    <x:cfRule type="containsText" dxfId="1" priority="2" operator="containsText" text="Cần mở rộng"/>
    <x:cfRule type="containsText" dxfId="2" priority="3" operator="containsText" text="Chưa có"/>
    <x:cfRule type="containsText" dxfId="3" priority="4" operator="containsText" text="Cần xây mới"/>
  </x:conditionalFormatting>
  <x:pageMargins left="0.7" right="0.7" top="0.75" bottom="0.75" header="0.3" footer="0.3"/>
  <x:tableParts count="1">
    <x:tablePart xmlns:r="http://schemas.openxmlformats.org/officeDocument/2006/relationships" r:id="R1989834eeaa24fdd"/>
  </x:tableParts>
</x:worksheet>
</file>

<file path=xl/worksheets/sheet4.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 hidden="0" customWidth="1"/>
    <x:col min="2" max="2" width="7" hidden="0" customWidth="1"/>
    <x:col min="3" max="3" width="35" hidden="0" customWidth="1"/>
    <x:col min="4" max="4" width="122" hidden="0" customWidth="1"/>
  </x:cols>
  <x:sheetData>
    <x:row r="2" ht="30" customHeight="1">
      <x:c r="B2" s="3" t="str">
        <x:v>Bản dịch yêu cầu của khách hàng</x:v>
      </x:c>
      <x:c r="C2" s="2"/>
      <x:c r="D2" s="2"/>
    </x:row>
    <x:row r="3" ht="22" customHeight="1">
      <x:c r="B3" s="4"/>
      <x:c r="C3" s="4"/>
      <x:c r="D3" s="4"/>
    </x:row>
    <x:row r="4" ht="22" customHeight="1">
      <x:c r="B4" s="11" t="str">
        <x:v>Nguồn: nội dung tiếng Trung khách cung cấp. Tên riêng giữ nguyên; tiền được hiểu là TWD.</x:v>
      </x:c>
      <x:c r="C4" s="2"/>
      <x:c r="D4" s="2"/>
    </x:row>
    <x:row r="5" ht="22" customHeight="1">
      <x:c r="B5" s="2"/>
      <x:c r="C5" s="2"/>
      <x:c r="D5" s="2"/>
    </x:row>
    <x:row r="6" ht="34" customHeight="1">
      <x:c r="B6" s="8" t="str">
        <x:v>STT</x:v>
      </x:c>
      <x:c r="C6" s="8" t="str">
        <x:v>Nhóm yêu cầu</x:v>
      </x:c>
      <x:c r="D6" s="8" t="str">
        <x:v>Bản dịch tiếng Việt</x:v>
      </x:c>
    </x:row>
    <x:row r="7" ht="40" customHeight="1">
      <x:c r="B7" s="14" t="n">
        <x:v>1</x:v>
      </x:c>
      <x:c r="C7" s="14" t="str">
        <x:v>Giới thiệu doanh nghiệp và mục tiêu hợp tác</x:v>
      </x:c>
      <x:c r="D7" s="14" t="str">
        <x:v>"Chúng tôi là 麗寶國際餐飲事業有限公司, Công ty TNHH Kinh doanh Ẩm thực Quốc tế Lệ Bảo, sở hữu nhiều thương hiệu ẩm thực cùng một bếp trung tâm chuyên nghiệp. Phạm vi kinh doanh của chúng tôi rất rộng:</x:v>
      </x:c>
    </x:row>
    <x:row r="8" ht="40" customHeight="1">
      <x:c r="B8" s="15" t="n">
        <x:v>2</x:v>
      </x:c>
      <x:c r="C8" s="15" t="str">
        <x:v>Giới thiệu doanh nghiệp và mục tiêu hợp tác</x:v>
      </x:c>
      <x:c r="D8" s="15" t="str">
        <x:v>加賀團膳: phụ trách suất ăn tập thể cho doanh nghiệp và cơ quan nhà nước.</x:v>
      </x:c>
    </x:row>
    <x:row r="9" ht="40" customHeight="1">
      <x:c r="B9" s="14" t="n">
        <x:v>3</x:v>
      </x:c>
      <x:c r="C9" s="14" t="str">
        <x:v>Giới thiệu doanh nghiệp và mục tiêu hợp tác</x:v>
      </x:c>
      <x:c r="D9" s="14" t="str">
        <x:v>長青食堂: phụ trách cung cấp suất ăn cho cơ sở chăm sóc dài hạn và bệnh viện.</x:v>
      </x:c>
    </x:row>
    <x:row r="10" ht="40" customHeight="1">
      <x:c r="B10" s="15" t="n">
        <x:v>4</x:v>
      </x:c>
      <x:c r="C10" s="15" t="str">
        <x:v>Giới thiệu doanh nghiệp và mục tiêu hợp tác</x:v>
      </x:c>
      <x:c r="D10" s="15" t="str">
        <x:v>周媽媽烤肉飯: phụ trách cơm hộp cho sự kiện và hội nghị.</x:v>
      </x:c>
    </x:row>
    <x:row r="11" ht="40" customHeight="1">
      <x:c r="B11" s="14" t="n">
        <x:v>5</x:v>
      </x:c>
      <x:c r="C11" s="14" t="str">
        <x:v>Giới thiệu doanh nghiệp và mục tiêu hợp tác</x:v>
      </x:c>
      <x:c r="D11" s="14" t="str">
        <x:v>南洋食堂: thương hiệu chủ lực chuyên phục vụ thị trường lao động nước ngoài đến từ Đông Nam Á. Đây chính là thương hiệu chúng tôi muốn kết nối hệ thống trong lần hợp tác này.</x:v>
      </x:c>
    </x:row>
    <x:row r="12" ht="40" customHeight="1">
      <x:c r="B12" s="15" t="n">
        <x:v>6</x:v>
      </x:c>
      <x:c r="C12" s="15" t="str">
        <x:v>Giới thiệu doanh nghiệp và mục tiêu hợp tác</x:v>
      </x:c>
      <x:c r="D12" s="15" t="str">
        <x:v>Với năng lực sản xuất mạnh của bếp trung tâm làm hậu thuẫn, đợt đầu chúng tôi nhắm đến khoảng 20 điểm nhận suất ăn tại các ký túc xá lao động nước ngoài ở Đài Trung.</x:v>
      </x:c>
    </x:row>
    <x:row r="13" ht="40" customHeight="1">
      <x:c r="B13" s="14" t="n">
        <x:v>7</x:v>
      </x:c>
      <x:c r="C13" s="14" t="str">
        <x:v>Giới thiệu doanh nghiệp và mục tiêu hợp tác</x:v>
      </x:c>
      <x:c r="D13" s="14" t="str">
        <x:v>Mỗi điểm sẽ là một chi nhánh ảo, có tên thương hiệu, thực đơn và giá bán riêng. Tổng sản lượng gần 1.000 suất ăn mỗi ngày.</x:v>
      </x:c>
    </x:row>
    <x:row r="14" ht="54" customHeight="1">
      <x:c r="B14" s="15" t="n">
        <x:v>8</x:v>
      </x:c>
      <x:c r="C14" s="15" t="str">
        <x:v>Giới thiệu doanh nghiệp và mục tiêu hợp tác</x:v>
      </x:c>
      <x:c r="D14" s="15" t="str">
        <x:v>Điều chúng tôi coi trọng là quy trình vận hành ổn định, bởi thời gian nhận suất ăn tập trung rất cao vào 05:30 đến 08:00 sáng và 17:00 đến 19:00 chiều. Vì vậy, yêu cầu về điều phối vận chuyển, phòng tránh thao tác sai và đối soát rất cao.</x:v>
      </x:c>
    </x:row>
    <x:row r="15" ht="40" customHeight="1">
      <x:c r="B15" s="14" t="n">
        <x:v>9</x:v>
      </x:c>
      <x:c r="C15" s="14" t="str">
        <x:v>Giới thiệu doanh nghiệp và mục tiêu hợp tác</x:v>
      </x:c>
      <x:c r="D15" s="14" t="str">
        <x:v>Chúng tôi quyết định trước tiên chọn 1 đến 2 điểm để kiểm thử vận hành dưới tải thực tế. Khi đã vận hành thuần thục và quy trình phối hợp giữa hai bên thông suốt, bếp trung tâm sẽ nhân rộng mô hình này sang các điểm còn lại.</x:v>
      </x:c>
    </x:row>
    <x:row r="16" ht="54" customHeight="1">
      <x:c r="B16" s="15" t="n">
        <x:v>10</x:v>
      </x:c>
      <x:c r="C16" s="15" t="str">
        <x:v>Giới thiệu doanh nghiệp và mục tiêu hợp tác</x:v>
      </x:c>
      <x:c r="D16" s="15" t="str">
        <x:v>Dưới đây là 'Bản đặc tả yêu cầu chức năng chuỗi 20 cửa hàng' mà tôi đã tổng hợp cho 南洋食堂. Xin hãy đánh giá cách hệ thống có thể đáp ứng đầy đủ, đồng thời cung cấp báo giá dự án có chiết khấu riêng cho giai đoạn thử nghiệm 1 đến 2 cửa hàng và giai đoạn hoàn chỉnh 20 cửa hàng."</x:v>
      </x:c>
    </x:row>
    <x:row r="17" ht="54" customHeight="1">
      <x:c r="B17" s="14" t="n">
        <x:v>11</x:v>
      </x:c>
      <x:c r="C17" s="14" t="str">
        <x:v>Mô hình kinh doanh và các giai đoạn mở rộng</x:v>
      </x:c>
      <x:c r="D17" s="14" t="str">
        <x:v>Quy trình chính: Người lao động đặt trước trực tuyến bằng điện thoại, không cần cài ứng dụng → bếp trung tâm Lệ Bảo chuẩn bị nguyên liệu tập trung → xe vận chuyển giao và phát suất ăn theo tuyến → tại điểm nhận có thể nạp tiền, xác nhận nhận suất ăn và thanh toán nhanh bằng số dư, không cần thối tiền.</x:v>
      </x:c>
    </x:row>
    <x:row r="18" ht="40" customHeight="1">
      <x:c r="B18" s="15" t="n">
        <x:v>12</x:v>
      </x:c>
      <x:c r="C18" s="15" t="str">
        <x:v>Mô hình kinh doanh và các giai đoạn mở rộng</x:v>
      </x:c>
      <x:c r="D18" s="15" t="str">
        <x:v>Giai đoạn 1, thử nghiệm: mở 1 đến 2 điểm tại ký túc xá để kiểm thử chịu tải của hệ thống, bộ phận chế biến và logistics của bếp.</x:v>
      </x:c>
    </x:row>
    <x:row r="19" ht="40" customHeight="1">
      <x:c r="B19" s="14" t="n">
        <x:v>13</x:v>
      </x:c>
      <x:c r="C19" s="14" t="str">
        <x:v>Mô hình kinh doanh và các giai đoạn mở rộng</x:v>
      </x:c>
      <x:c r="D19" s="14" t="str">
        <x:v>Giai đoạn 2, hoàn chỉnh: khi quy trình đã thành thạo, lần lượt nhân rộng mô hình thành công đến các điểm ký túc xá khác trong kế hoạch 20 điểm.</x:v>
      </x:c>
    </x:row>
    <x:row r="20" ht="40" customHeight="1">
      <x:c r="B20" s="15" t="n">
        <x:v>14</x:v>
      </x:c>
      <x:c r="C20" s="15" t="str">
        <x:v>Mô hình kinh doanh và các giai đoạn mở rộng</x:v>
      </x:c>
      <x:c r="D20" s="15" t="str">
        <x:v>Yêu cầu đặc biệt: 20 ký túc xá sẽ sử dụng các tên thương hiệu khác nhau, bán thực đơn cơm hộp khác nhau và áp dụng mức giá độc lập.</x:v>
      </x:c>
    </x:row>
    <x:row r="21" ht="40" customHeight="1">
      <x:c r="B21" s="14" t="n">
        <x:v>15</x:v>
      </x:c>
      <x:c r="C21" s="14" t="str">
        <x:v>Chức năng quản trị cốt lõi, trụ sở quản lý 20 cửa hàng</x:v>
      </x:c>
      <x:c r="D21" s="14" t="str">
        <x:v>Quản lý độc lập 20 cửa hàng, nhiều thương hiệu: hỗ trợ mô hình quản lý tập trung tại trụ sở; tên cửa hàng, logo, thực đơn, giá bán và giờ hoạt động của từng điểm phải được cấu hình riêng, không ảnh hưởng nhau.</x:v>
      </x:c>
    </x:row>
    <x:row r="22" ht="40" customHeight="1">
      <x:c r="B22" s="15" t="n">
        <x:v>16</x:v>
      </x:c>
      <x:c r="C22" s="15" t="str">
        <x:v>Chức năng quản trị cốt lõi, trụ sở quản lý 20 cửa hàng</x:v>
      </x:c>
      <x:c r="D22" s="15" t="str">
        <x:v>Tự động khóa nhận đơn theo từng khung giờ: hỗ trợ đặt trước và thiết lập hạn chót riêng cho từng ca nhận suất ăn. Ví dụ: nhận lúc 05:30 sáng mai thì hệ thống tự khóa nhận đơn lúc 20:00 tối nay.</x:v>
      </x:c>
    </x:row>
    <x:row r="23" ht="54" customHeight="1">
      <x:c r="B23" s="14" t="n">
        <x:v>17</x:v>
      </x:c>
      <x:c r="C23" s="14" t="str">
        <x:v>Chức năng quản trị cốt lõi, trụ sở quản lý 20 cửa hàng</x:v>
      </x:c>
      <x:c r="D23" s="14" t="str">
        <x:v>Báo cáo gộp cho bếp trung tâm bằng một thao tác: đến giờ chốt đơn, trụ sở có thể xuất tổng số lượng tất cả món từ 20 điểm để bếp chuẩn bị, chẳng hạn tổng suất sườn và đùi gà. Đồng thời có thể tách thành phiếu soạn hàng riêng theo từng tài xế, điểm giao hoặc chuyến xe.</x:v>
      </x:c>
    </x:row>
    <x:row r="24" ht="40" customHeight="1">
      <x:c r="B24" s="15" t="n">
        <x:v>18</x:v>
      </x:c>
      <x:c r="C24" s="15" t="str">
        <x:v>Chức năng quản trị cốt lõi, trụ sở quản lý 20 cửa hàng</x:v>
      </x:c>
      <x:c r="D24" s="15" t="str">
        <x:v>Tài khoản nhân viên và giới hạn quyền theo điểm: tạo nhiều tài khoản phụ cho tài xế. Mỗi tài xế chỉ xem được đơn tại ký túc xá mình phụ trách, không được xem dữ liệu điểm khác; tài xế không được xóa đơn hay sửa giá.</x:v>
      </x:c>
    </x:row>
    <x:row r="25" ht="54" customHeight="1">
      <x:c r="B25" s="14" t="n">
        <x:v>19</x:v>
      </x:c>
      <x:c r="C25" s="14" t="str">
        <x:v>Chức năng phía khách hàng và tiếp thị hội viên, web trên điện thoại, không cần cài ứng dụng</x:v>
      </x:c>
      <x:c r="D25" s="14" t="str">
        <x:v>Chuyển đổi ngôn ngữ Đông Nam Á bằng một thao tác: toàn bộ giao diện đặt món và đăng ký phải hỗ trợ tiếng Trung phồn thể, tiếng Việt, tiếng Indonesia, tiếng Thái và tiếng Anh dùng cho khách Philippines. Các trường có sẵn trong hệ thống phải có bản dịch chính thức cho đủ năm ngôn ngữ.</x:v>
      </x:c>
    </x:row>
    <x:row r="26" ht="54" customHeight="1">
      <x:c r="B26" s="15" t="n">
        <x:v>20</x:v>
      </x:c>
      <x:c r="C26" s="15" t="str">
        <x:v>Chức năng phía khách hàng và tiếp thị hội viên, web trên điện thoại, không cần cài ứng dụng</x:v>
      </x:c>
      <x:c r="D26" s="15" t="str">
        <x:v>Quà đăng ký và kiểm soát hiệu lực phiếu giảm giá: khi đăng ký thành công, tự động cấp vào kho ưu đãi 100 phiếu, mỗi phiếu giảm 10 TWD. Cấu hình được điều kiện sử dụng, ví dụ đơn từ 70 TWD giảm 10 TWD, và thời hạn tính theo số ngày, ví dụ hết hạn sau 180 ngày.</x:v>
      </x:c>
    </x:row>
    <x:row r="27" ht="54" customHeight="1">
      <x:c r="B27" s="14" t="n">
        <x:v>21</x:v>
      </x:c>
      <x:c r="C27" s="14" t="str">
        <x:v>Chức năng phía khách hàng và tiếp thị hội viên, web trên điện thoại, không cần cài ứng dụng</x:v>
      </x:c>
      <x:c r="D27" s="14" t="str">
        <x:v>Giới thiệu bạn bè, MGM: hội viên tạo được liên kết giới thiệu. Phải có cơ chế chống gian lận: người bạn mới phải thực sự hoàn tất đơn hàng đầu tiên và nhận suất ăn thành công thì người giới thiệu mới nhận phiếu thưởng 30 TWD, nhằm tránh tạo tài khoản/số điện thoại giả để lấy phiếu.</x:v>
      </x:c>
    </x:row>
    <x:row r="28" ht="54" customHeight="1">
      <x:c r="B28" s="15" t="n">
        <x:v>22</x:v>
      </x:c>
      <x:c r="C28" s="15" t="str">
        <x:v>Chức năng phía khách hàng và tiếp thị hội viên, web trên điện thoại, không cần cài ứng dụng</x:v>
      </x:c>
      <x:c r="D28" s="15" t="str">
        <x:v>Vòng quay trúng thưởng và tích điểm đa ngôn ngữ tích hợp sẵn: có vòng quay kỹ thuật số và chương trình tích điểm. Ví dụ đạt ngưỡng chi tiêu thì được 1 điểm; điểm hết hạn sau 90 ngày; cấu hình được đổi điểm lấy hiện vật như mì ăn liền hoặc nước uống.</x:v>
      </x:c>
    </x:row>
    <x:row r="29" ht="54" customHeight="1">
      <x:c r="B29" s="14" t="n">
        <x:v>23</x:v>
      </x:c>
      <x:c r="C29" s="14" t="str">
        <x:v>Thu tiền, nạp tiền và xác nhận nhận suất ăn tại điểm, điện thoại tài xế</x:v>
      </x:c>
      <x:c r="D29" s="14" t="str">
        <x:v>Dùng chung số dư và điểm hội viên giữa cửa hàng/thương hiệu: hỗ trợ doanh nghiệp tự thu tiền mặt để nạp tài khoản; hệ thống không thu phần trăm hoa hồng. Dù người lao động đăng ký và nạp tiền tại ký túc xá hay thương hiệu nào, số dư và điểm phải dùng được ở cả 20 điểm.</x:v>
      </x:c>
    </x:row>
    <x:row r="30" ht="54" customHeight="1">
      <x:c r="B30" s="15" t="n">
        <x:v>24</x:v>
      </x:c>
      <x:c r="C30" s="15" t="str">
        <x:v>Thu tiền, nạp tiền và xác nhận nhận suất ăn tại điểm, điện thoại tài xế</x:v>
      </x:c>
      <x:c r="D30" s="15" t="str">
        <x:v>Nút nạp tiền nhanh để tránh sai sót: giao diện quản lý của tài xế có các mệnh giá cố định. Ví dụ nút "Nạp 1.000 TWD, tài khoản nhận 1.100 TWD", giúp tránh nhập sai số tiền tại hiện trường.</x:v>
      </x:c>
    </x:row>
    <x:row r="31" ht="54" customHeight="1">
      <x:c r="B31" s="14" t="n">
        <x:v>25</x:v>
      </x:c>
      <x:c r="C31" s="14" t="str">
        <x:v>Thu tiền, nạp tiền và xác nhận nhận suất ăn tại điểm, điện thoại tài xế</x:v>
      </x:c>
      <x:c r="D31" s="14" t="str">
        <x:v>Nhiều thiết bị cùng quét mã xác nhận: nhiều tài xế đăng nhập đồng thời bằng điện thoại riêng, dùng camera quét QR của đơn đặt trước để trừ số dư và xác nhận nhận suất ăn bằng một thao tác. Sau chuyến giao, hệ thống xuất riêng báo cáo nạp tiền và thu tiền mặt của từng tài xế trong từng ca để đối soát nhanh.</x:v>
      </x:c>
    </x:row>
    <x:row r="32" ht="40" customHeight="1">
      <x:c r="B32" s="15" t="n">
        <x:v>26</x:v>
      </x:c>
      <x:c r="C32" s="15" t="str">
        <x:v>Bán trực tiếp cho khách vãng lai, POS lưu động trên xe</x:v>
      </x:c>
      <x:c r="D32" s="15" t="str">
        <x:v>Thiết bị của tài xế phải chuyển được sang chế độ thu ngân. Khi người lao động chưa đặt trước muốn mua tại điểm, tài xế chọn món cơm hộp và thu tiền mặt ngay.</x:v>
      </x:c>
    </x:row>
    <x:row r="33" ht="40" customHeight="1">
      <x:c r="B33" s="14" t="n">
        <x:v>27</x:v>
      </x:c>
      <x:c r="C33" s="14" t="str">
        <x:v>Bán trực tiếp cho khách vãng lai, POS lưu động trên xe</x:v>
      </x:c>
      <x:c r="D33" s="14" t="str">
        <x:v>Hệ thống thống kê riêng doanh thu đơn đặt trước và doanh thu bán trực tiếp, đồng thời trình bày cả hai trong báo cáo đối soát ca của tài xế.</x:v>
      </x:c>
    </x:row>
    <x:row r="34" ht="40" customHeight="1">
      <x:c r="B34" s="15" t="n">
        <x:v>28</x:v>
      </x:c>
      <x:c r="C34" s="15" t="str">
        <x:v>Thiết bị và tem nhãn</x:v>
      </x:c>
      <x:c r="D34" s="15" t="str">
        <x:v>Thiết bị tại bếp: hỗ trợ 1 máy chủ/máy điều hành và 1 máy in đơn. Nội dung gốc nhắc cả máy in đơn và máy in tem; cần xác nhận muốn một thiết bị kiêm nhiệm hay hai loại máy riêng.</x:v>
      </x:c>
    </x:row>
    <x:row r="35" ht="34" customHeight="1">
      <x:c r="B35" s="14" t="n">
        <x:v>29</x:v>
      </x:c>
      <x:c r="C35" s="14" t="str">
        <x:v>Thiết bị và tem nhãn</x:v>
      </x:c>
      <x:c r="D35" s="14" t="str">
        <x:v>Mã nhận suất ăn.</x:v>
      </x:c>
    </x:row>
    <x:row r="36" ht="34" customHeight="1">
      <x:c r="B36" s="15" t="n">
        <x:v>30</x:v>
      </x:c>
      <x:c r="C36" s="15" t="str">
        <x:v>Thiết bị và tem nhãn</x:v>
      </x:c>
      <x:c r="D36" s="15" t="str">
        <x:v>Tên người lao động.</x:v>
      </x:c>
    </x:row>
    <x:row r="37" ht="34" customHeight="1">
      <x:c r="B37" s="14" t="n">
        <x:v>31</x:v>
      </x:c>
      <x:c r="C37" s="14" t="str">
        <x:v>Thiết bị và tem nhãn</x:v>
      </x:c>
      <x:c r="D37" s="14" t="str">
        <x:v>Điểm nhận suất ăn.</x:v>
      </x:c>
    </x:row>
    <x:row r="38" ht="34" customHeight="1">
      <x:c r="B38" s="15" t="n">
        <x:v>32</x:v>
      </x:c>
      <x:c r="C38" s="15" t="str">
        <x:v>Thiết bị và tem nhãn</x:v>
      </x:c>
      <x:c r="D38" s="15" t="str">
        <x:v>Ca/khung giờ nhận suất ăn.</x:v>
      </x:c>
    </x:row>
    <x:row r="39" ht="34" customHeight="1">
      <x:c r="B39" s="14" t="n">
        <x:v>33</x:v>
      </x:c>
      <x:c r="C39" s="14" t="str">
        <x:v>Thiết bị và tem nhãn</x:v>
      </x:c>
      <x:c r="D39" s="14" t="str">
        <x:v>Ghi chú tùy chỉnh bằng tiếng Trung cho bếp, chẳng hạn "có cay", "thêm cơm".</x:v>
      </x:c>
    </x:row>
    <x:row r="40" ht="22" customHeight="1">
      <x:c r="B40" s="2"/>
      <x:c r="C40" s="2"/>
      <x:c r="D40" s="2"/>
    </x:row>
    <x:row r="41" ht="22" customHeight="1">
      <x:c r="B41" s="2"/>
      <x:c r="C41" s="2"/>
      <x:c r="D41" s="2"/>
    </x:row>
    <x:row r="42" ht="22" customHeight="1">
      <x:c r="B42" s="2"/>
      <x:c r="C42" s="2"/>
      <x:c r="D42" s="2"/>
    </x:row>
  </x:sheetData>
  <x:pageMargins left="0.7" right="0.7" top="0.75" bottom="0.75" header="0.3" footer="0.3"/>
  <x:tableParts count="1">
    <x:tablePart xmlns:r="http://schemas.openxmlformats.org/officeDocument/2006/relationships" r:id="R5830fa554a0d4673"/>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 hidden="0" customWidth="1"/>
    <x:col min="2" max="2" width="34" hidden="0" customWidth="1"/>
    <x:col min="3" max="3" width="108" hidden="0" customWidth="1"/>
    <x:col min="4" max="4" width="3" hidden="0" customWidth="1"/>
  </x:cols>
  <x:sheetData>
    <x:row r="2" ht="30" customHeight="1">
      <x:c r="B2" s="3" t="str">
        <x:v>Thiết kế và các luồng vận hành</x:v>
      </x:c>
      <x:c r="C2" s="2"/>
      <x:c r="D2" s="2"/>
    </x:row>
    <x:row r="3" ht="22" customHeight="1">
      <x:c r="B3" s="4"/>
      <x:c r="C3" s="4"/>
      <x:c r="D3" s="4"/>
    </x:row>
    <x:row r="4" ht="22" customHeight="1">
      <x:c r="B4" s="11" t="str">
        <x:v>Thiết kế đề xuất. Chưa triển khai các bảng và API mới.</x:v>
      </x:c>
      <x:c r="C4" s="2"/>
      <x:c r="D4" s="2"/>
    </x:row>
    <x:row r="5" ht="22" customHeight="1">
      <x:c r="B5" s="2"/>
      <x:c r="C5" s="2"/>
      <x:c r="D5" s="2"/>
    </x:row>
    <x:row r="6" ht="34" customHeight="1">
      <x:c r="B6" s="8" t="str">
        <x:v>Chủ đề</x:v>
      </x:c>
      <x:c r="C6" s="8" t="str">
        <x:v>Cách triển khai</x:v>
      </x:c>
      <x:c r="D6" s="2"/>
    </x:row>
    <x:row r="7" ht="68" customHeight="1">
      <x:c r="B7" s="14" t="str">
        <x:v>Việc cần sửa trước khi dùng tiền thật</x:v>
      </x:c>
      <x:c r="C7" s="14" t="str">
        <x:v>Xác thực tại server: router hiện gọi trực tiếp nhiều API vận hành; handleAuth trả ok sau kiểm tra PIN, không phát session có danh tính tài xế. Phải bảo vệ cả API cũ có thể tác động đến đơn/giá/số dư; chỉ giấu nút trên UI là không đủ. Đây là quan sát code, chưa kiểm tra các lớp bảo vệ hạ tầng ngoài repository.</x:v>
      </x:c>
      <x:c r="D7" s="2"/>
    </x:row>
    <x:row r="8" ht="54" customHeight="1">
      <x:c r="B8" s="15" t="str">
        <x:v>Việc cần sửa trước khi dùng tiền thật</x:v>
      </x:c>
      <x:c r="C8" s="15" t="str">
        <x:v>Giá và danh tính có thẩm quyền: createOrder dùng data.total, giá item và data.userId từ request. Luồng tiền phải tính giá/discount theo catalog và campaign tại server, lấy hội viên từ session đã xác thực. Không dùng userId do client tự khai để trừ ví.</x:v>
      </x:c>
      <x:c r="D8" s="2"/>
    </x:row>
    <x:row r="9" ht="40" customHeight="1">
      <x:c r="B9" s="14" t="str">
        <x:v>Việc cần sửa trước khi dùng tiền thật</x:v>
      </x:c>
      <x:c r="C9" s="14" t="str">
        <x:v>Trạng thái đơn chưa thay cho giao dịch tiền: PAID/PICKED_UP không cung cấp sổ thu chi, payment method, tài xế hoặc ca. Cần tách trạng thái chuẩn bị, thanh toán và giao hàng.</x:v>
      </x:c>
      <x:c r="D9" s="2"/>
    </x:row>
    <x:row r="10" ht="40" customHeight="1">
      <x:c r="B10" s="15" t="str">
        <x:v>Việc cần sửa trước khi dùng tiền thật</x:v>
      </x:c>
      <x:c r="C10" s="15" t="str">
        <x:v>Có migration chưa chắc có tính năng: không đưa các bảng staff chưa được route sử dụng vào nhóm "đã hoàn thành".</x:v>
      </x:c>
      <x:c r="D10" s="2"/>
    </x:row>
    <x:row r="11" ht="40" customHeight="1">
      <x:c r="B11" s="14" t="str">
        <x:v>Việc cần sửa trước khi dùng tiền thật</x:v>
      </x:c>
      <x:c r="C11" s="14" t="str">
        <x:v>Không dùng ngày tạo đơn làm ngày sản xuất: đặt tối hôm trước cho sáng hôm sau phải vào ngày phục vụ và ca nhận, không vào báo cáo ngày đặt.</x:v>
      </x:c>
      <x:c r="D11" s="2"/>
    </x:row>
    <x:row r="12" ht="34" customHeight="1">
      <x:c r="B12" s="15" t="str">
        <x:v>Phân chia dữ liệu</x:v>
      </x:c>
      <x:c r="C12" s="15" t="str">
        <x:v>Giữ mỗi điểm là một tenant để tận dụng catalog/giá/branding sẵn có.</x:v>
      </x:c>
      <x:c r="D12" s="2"/>
    </x:row>
    <x:row r="13" ht="40" customHeight="1">
      <x:c r="B13" s="14" t="str">
        <x:v>Phân chia dữ liệu</x:v>
      </x:c>
      <x:c r="C13" s="14" t="str">
        <x:v>Thêm organizations và organization_locations: một doanh nghiệp gồm nhiều tenant. Hội viên/ví/điểm thuộc organization; menu và đơn thuộc tenant.</x:v>
      </x:c>
      <x:c r="D13" s="2"/>
    </x:row>
    <x:row r="14" ht="40" customHeight="1">
      <x:c r="B14" s="15" t="str">
        <x:v>Phân chia dữ liệu</x:v>
      </x:c>
      <x:c r="C14" s="15" t="str">
        <x:v>Mọi khác biệt về hạn chót, ngôn ngữ, gói nạp, khuyến mại và in ấn dùng cấu hình; không hardcode 南洋食堂 hay bất kỳ tên quán nào.</x:v>
      </x:c>
      <x:c r="D14" s="2"/>
    </x:row>
    <x:row r="15" ht="40" customHeight="1">
      <x:c r="B15" s="14" t="str">
        <x:v>Phân chia dữ liệu</x:v>
      </x:c>
      <x:c r="C15" s="14" t="str">
        <x:v>Dùng mã món sản xuất chung để ánh xạ món bán tại các điểm; cùng tên chưa chắc cùng món, khác tên có thể cùng công thức. Chưa làm BOM nguyên liệu trong phạm vi cơ sở.</x:v>
      </x:c>
      <x:c r="D15" s="2"/>
    </x:row>
    <x:row r="16" ht="40" customHeight="1">
      <x:c r="B16" s="15" t="str">
        <x:v>Phân chia dữ liệu</x:v>
      </x:c>
      <x:c r="C16" s="15" t="str">
        <x:v>Giao diện tài xế ưu tiên web/PWA trên điện thoại; bộ điều hành bếp ưu tiên Android có bridge in hiện tại, phụ thuộc xác nhận thiết bị.</x:v>
      </x:c>
      <x:c r="D16" s="2"/>
    </x:row>
    <x:row r="17" ht="40" customHeight="1">
      <x:c r="B17" s="14" t="str">
        <x:v>Dữ liệu và bộ nhớ đệm</x:v>
      </x:c>
      <x:c r="C17" s="14" t="str">
        <x:v>D1 lưu đơn, ví, giao nhận và sổ ca. KV giữ catalog/cấu hình; không dùng dữ liệu có thể trễ của KV để quyết định trừ tiền hoặc xác nhận đã giao.</x:v>
      </x:c>
      <x:c r="D17" s="2"/>
    </x:row>
    <x:row r="18" ht="40" customHeight="1">
      <x:c r="B18" s="15" t="str">
        <x:v>Dữ liệu: Doanh nghiệp/quyền</x:v>
      </x:c>
      <x:c r="C18" s="15" t="str">
        <x:v>organizations, organization_locations, staff_accounts, staff_location_grants, staff_sessions
Chỉ truy cập tenant được cấp; không tự mở quyền bằng tenant_id trên URL</x:v>
      </x:c>
      <x:c r="D18" s="2"/>
    </x:row>
    <x:row r="19" ht="40" customHeight="1">
      <x:c r="B19" s="14" t="str">
        <x:v>Dữ liệu: Hội viên</x:v>
      </x:c>
      <x:c r="C19" s="14" t="str">
        <x:v>members, member_identities
Một danh tính đã xác thực gắn hội viên trong organization; cơ chế gộp tài khoản có kiểm soát</x:v>
      </x:c>
      <x:c r="D19" s="2"/>
    </x:row>
    <x:row r="20" ht="40" customHeight="1">
      <x:c r="B20" s="15" t="str">
        <x:v>Dữ liệu: Đặt trước</x:v>
      </x:c>
      <x:c r="C20" s="15" t="str">
        <x:v>pickup_slot_templates, pickup_slot_instances
Ngày phục vụ, timezone, giờ nhận và cutoff_at UTC; giới hạn suất nếu cần</x:v>
      </x:c>
      <x:c r="D20" s="2"/>
    </x:row>
    <x:row r="21" ht="40" customHeight="1">
      <x:c r="B21" s="14" t="str">
        <x:v>Dữ liệu: Đơn</x:v>
      </x:c>
      <x:c r="C21" s="14" t="str">
        <x:v>Mở rộng đơn với organization/member/slot/source/price snapshot
preorder khác walk_in; không dùng is_desktop làm nguồn doanh thu</x:v>
      </x:c>
      <x:c r="D21" s="2"/>
    </x:row>
    <x:row r="22" ht="40" customHeight="1">
      <x:c r="B22" s="15" t="str">
        <x:v>Dữ liệu: Bếp</x:v>
      </x:c>
      <x:c r="C22" s="15" t="str">
        <x:v>production_products, location_product_mappings, production_batches, production_batch_lines
Snapshot phiên bản khi chốt; tùy biến chuẩn hóa; tổng batch nhất quán</x:v>
      </x:c>
      <x:c r="D22" s="2"/>
    </x:row>
    <x:row r="23" ht="40" customHeight="1">
      <x:c r="B23" s="14" t="str">
        <x:v>Dữ liệu: Giao hàng</x:v>
      </x:c>
      <x:c r="C23" s="14" t="str">
        <x:v>delivery_runs, delivery_stops, run_assignments, run_inventory
Đơn gắn chuyến/điểm; tách suất đặt trước với suất dư bán tại chỗ</x:v>
      </x:c>
      <x:c r="D23" s="2"/>
    </x:row>
    <x:row r="24" ht="40" customHeight="1">
      <x:c r="B24" s="15" t="str">
        <x:v>Dữ liệu: Tiền</x:v>
      </x:c>
      <x:c r="C24" s="15" t="str">
        <x:v>wallet_accounts, wallet_ledger, topup_packages, payments
Tiền theo số nguyên đơn vị nhỏ nhất; tách tiền gốc/bonus; khóa nghiệp vụ và idempotency</x:v>
      </x:c>
      <x:c r="D24" s="2"/>
    </x:row>
    <x:row r="25" ht="40" customHeight="1">
      <x:c r="B25" s="14" t="str">
        <x:v>Dữ liệu: Nhận hàng/ca</x:v>
      </x:c>
      <x:c r="C25" s="14" t="str">
        <x:v>redemptions, driver_shifts, cash_movements, shift_closures
Mỗi đơn chỉ có một giao nhận thành công; actor/ca/điểm được server xác định</x:v>
      </x:c>
      <x:c r="D25" s="2"/>
    </x:row>
    <x:row r="26" ht="54" customHeight="1">
      <x:c r="B26" s="15" t="str">
        <x:v>Dữ liệu: Marketing</x:v>
      </x:c>
      <x:c r="C26" s="15" t="str">
        <x:v>campaigns, coupon_issuances, coupon_redemptions, referrals, points_lots, points_ledger, prize_inventory, wheel_draws
Cấp thưởng một lần, TTL nghiệp vụ, hoàn thưởng có dấu vết</x:v>
      </x:c>
      <x:c r="D26" s="2"/>
    </x:row>
    <x:row r="27" ht="40" customHeight="1">
      <x:c r="B27" s="14" t="str">
        <x:v>Dữ liệu: Vận hành</x:v>
      </x:c>
      <x:c r="C27" s="14" t="str">
        <x:v>audit_events, outbox_events, print_jobs
Theo dõi actor, request ID, retry, trạng thái kết quả không rõ và in lại</x:v>
      </x:c>
      <x:c r="D27" s="2"/>
    </x:row>
    <x:row r="28" ht="54" customHeight="1">
      <x:c r="B28" s="15" t="str">
        <x:v>Quan hệ và chỉ mục</x:v>
      </x:c>
      <x:c r="C28" s="15" t="str">
        <x:v>Kiểm tra organization/tenant tại server và DB. Ưu tiên chỉ mục theo điểm, ngày phục vụ, ca, ví và tài xế. Khóa unique cho request, giao nhận và cấp thưởng. Giữ khả năng tách DB theo doanh nghiệp về sau.</x:v>
      </x:c>
      <x:c r="D28" s="2"/>
    </x:row>
    <x:row r="29" ht="68" customHeight="1">
      <x:c r="B29" s="14" t="str">
        <x:v>Đặt trước</x:v>
      </x:c>
      <x:c r="C29" s="14" t="str">
        <x:v>Khách chọn điểm, ca và món
POST /api/member/orders: nhận location_id, slot_id, item IDs, số lượng và request ID; server tính giá, lưu snapshot và cấp token nhận hàng
Từ chối sau cutoff, sai điểm, món hết; retry không tạo hai đơn</x:v>
      </x:c>
      <x:c r="D29" s="2"/>
    </x:row>
    <x:row r="30" ht="68" customHeight="1">
      <x:c r="B30" s="15" t="str">
        <x:v>Chốt bếp và chuyến</x:v>
      </x:c>
      <x:c r="C30" s="15" t="str">
        <x:v>Đến hạn hoặc tổng bộ xuất phiếu
POST .../production-batches, GET .../production-batches/:id/export: gom theo mã sản xuất, tùy biến, ca; tách theo chuyến và điểm
Xuất lại cùng phiên bản không thay số; sửa ngoại lệ phải có delta/phiên bản mới</x:v>
      </x:c>
      <x:c r="D30" s="2"/>
    </x:row>
    <x:row r="31" ht="54" customHeight="1">
      <x:c r="B31" s="14" t="str">
        <x:v>Nạp tiền</x:v>
      </x:c>
      <x:c r="C31" s="14" t="str">
        <x:v>Tài xế chọn hội viên, gói nạp và xác nhận đã nhận tiền
POST /api/driver/topups: server lấy gói nạp, ghi sổ tiền mặt + tiền gốc + bonus, gắn ca
Không cho nhập giá trị tùy ý; retry không nạp hai lần; sai phải đảo giao dịch có quyền</x:v>
      </x:c>
      <x:c r="D31" s="2"/>
    </x:row>
    <x:row r="32" ht="68" customHeight="1">
      <x:c r="B32" s="15" t="str">
        <x:v>Nhận suất ăn</x:v>
      </x:c>
      <x:c r="C32" s="15" t="str">
        <x:v>Tài xế quét QR và xác nhận
Preview hiển thị tên/điểm/món/số tiền; POST /api/driver/redemptions trừ ví và ghi đã giao trong cùng đơn vị giao dịch
QR sai điểm/ca, đã dùng, thiếu tiền hoặc lỗi mạng không được hiển thị giao thành công</x:v>
      </x:c>
      <x:c r="D32" s="2"/>
    </x:row>
    <x:row r="33" ht="68" customHeight="1">
      <x:c r="B33" s="14" t="str">
        <x:v>Bán tại chỗ</x:v>
      </x:c>
      <x:c r="C33" s="14" t="str">
        <x:v>Tài xế chọn món có trên xe và thu tiền
POST /api/driver/walk-in-orders: tính giá server, ghi order source, payment cash, ca và giảm tồn bán lẻ
Không lấy vào suất đã giữ cho đơn đặt trước; không sửa giá/xóa giao dịch</x:v>
      </x:c>
      <x:c r="D33" s="2"/>
    </x:row>
    <x:row r="34" ht="54" customHeight="1">
      <x:c r="B34" s="15" t="str">
        <x:v>Chốt ca và thưởng</x:v>
      </x:c>
      <x:c r="C34" s="15" t="str">
        <x:v>Tài xế nộp tiền; sự kiện giao thành công đã commit
POST /api/driver/shifts/:id/close, báo cáo tiền; outbox phát thưởng theo điều kiện
Chênh lệch cần ghi nhận; outbox retry không cấp thưởng trùng; hoàn đơn liên kết điều chỉnh thưởng</x:v>
      </x:c>
      <x:c r="D34" s="2"/>
    </x:row>
    <x:row r="35" ht="40" customHeight="1">
      <x:c r="B35" s="14" t="str">
        <x:v>Phạm vi API</x:v>
      </x:c>
      <x:c r="C35" s="14" t="str">
        <x:v>API khách, tài xế và tổng bộ lấy quyền từ session. orgId hoặc tenantId do trình duyệt gửi lên không chứng minh quyền truy cập.</x:v>
      </x:c>
      <x:c r="D35" s="2"/>
    </x:row>
    <x:row r="36" ht="40" customHeight="1">
      <x:c r="B36" s="15" t="str">
        <x:v>Kết quả giao nhận</x:v>
      </x:c>
      <x:c r="C36" s="15" t="str">
        <x:v>Trả redemption_id, payment_id, trạng thái đơn, số tiền trừ, số dư sau giao dịch và thông tin request gửi lại. Mã lỗi gồm CUTOFF_PASSED, INSUFFICIENT_BALANCE, ALREADY_REDEEMED, FORBIDDEN_LOCATION.</x:v>
      </x:c>
      <x:c r="D36" s="2"/>
    </x:row>
    <x:row r="37" ht="54" customHeight="1">
      <x:c r="B37" s="14" t="str">
        <x:v>Giao dịch tiền</x:v>
      </x:c>
      <x:c r="C37" s="14" t="str">
        <x:v>QR là token ngẫu nhiên đủ mạnh/được ký gắn với đơn, không chứa quyền sửa tiền. Camera đọc token; server kiểm tra nhân viên, điểm được cấp và trạng thái đơn. Phạm vi cơ sở là một lần nhận toàn bộ đơn; nhận từng phần cần thiết kế thêm.</x:v>
      </x:c>
      <x:c r="D37" s="2"/>
    </x:row>
    <x:row r="38" ht="40" customHeight="1">
      <x:c r="B38" s="15" t="str">
        <x:v>Giao dịch tiền</x:v>
      </x:c>
      <x:c r="C38" s="15" t="str">
        <x:v>Một giao dịch thành công gồm debit ví, payment, redemption và cập nhật đơn. Cùng đơn quét trên hai máy phải có đúng một kết quả ghi tiền thành công.</x:v>
      </x:c>
      <x:c r="D38" s="2"/>
    </x:row>
    <x:row r="39" ht="40" customHeight="1">
      <x:c r="B39" s="14" t="str">
        <x:v>Giao dịch tiền</x:v>
      </x:c>
      <x:c r="C39" s="14" t="str">
        <x:v>Dùng idempotency key kèm hash payload; gửi lại cùng khóa trả kết quả cũ, đổi payload bị từ chối. Ngoài request ID vẫn cần khóa unique theo đơn để ngăn hai máy dùng hai request ID khác nhau.</x:v>
      </x:c>
      <x:c r="D39" s="2"/>
    </x:row>
    <x:row r="40" ht="68" customHeight="1">
      <x:c r="B40" s="15" t="str">
        <x:v>Giao dịch tiền</x:v>
      </x:c>
      <x:c r="C40" s="15" t="str">
        <x:v>D1 hỗ trợ batch() dạng giao dịch và rollback khi một statement lỗi. Tuy nhiên UPDATE không khớp dòng không tự động là lỗi SQL: phải thiết kế điều kiện/constraint/trigger hoặc ghi có điều kiện để không thể commit payment nếu debit không thành công. Làm spike và test cạnh tranh trước khi chốt cách triển khai. D1 Database API</x:v>
      </x:c>
      <x:c r="D40" s="2"/>
    </x:row>
    <x:row r="41" ht="54" customHeight="1">
      <x:c r="B41" s="14" t="str">
        <x:v>Giao dịch tiền</x:v>
      </x:c>
      <x:c r="C41" s="14" t="str">
        <x:v>Không dùng vòng read-balance rồi write-balance từ client. Nếu bật read replication, số dư sau thao tác phải trả từ kết quả giao dịch và đọc có bảo đảm phù hợp; session consistency không thay thế điều kiện debit tại DB. D1 read replication</x:v>
      </x:c>
      <x:c r="D41" s="2"/>
    </x:row>
    <x:row r="42" ht="40" customHeight="1">
      <x:c r="B42" s="15" t="str">
        <x:v>Giao dịch tiền</x:v>
      </x:c>
      <x:c r="C42" s="15" t="str">
        <x:v>Mất mạng hoặc timeout: hiển thị "chưa xác định kết quả", tra lại cùng request ID. Không tự báo thành công hoặc tự trừ ví offline.</x:v>
      </x:c>
      <x:c r="D42" s="2"/>
    </x:row>
    <x:row r="43" ht="40" customHeight="1">
      <x:c r="B43" s="14" t="str">
        <x:v>Giao dịch tiền</x:v>
      </x:c>
      <x:c r="C43" s="14" t="str">
        <x:v>Tiền đã ghi không bị xóa; hoàn tiền dùng bút toán đảo và quyền quản lý. Khóa ca ngăn tài xế thêm giao dịch vào ca đã chốt.</x:v>
      </x:c>
      <x:c r="D43" s="2"/>
    </x:row>
    <x:row r="44" ht="40" customHeight="1">
      <x:c r="B44" s="15" t="str">
        <x:v>Đối soát</x:v>
      </x:c>
      <x:c r="C44" s="15" t="str">
        <x:v>Ví dụ nạp 1.000, nhận 1.100: tiền mặt thu 1.000, tiền gốc vào ví 1.000, tiền thưởng 100. Không được ghi tiền mặt thu là 1.100 hoặc cộng tiền nạp lần nữa vào doanh thu bán suất ăn.</x:v>
      </x:c>
      <x:c r="D44" s="2"/>
    </x:row>
    <x:row r="45" ht="82" customHeight="1">
      <x:c r="B45" s="14" t="str">
        <x:v>Đối soát</x:v>
      </x:c>
      <x:c r="C45" s="14" t="str">
        <x:v>Báo cáo ca cần ít nhất: tiền nạp mặt; tiền bán trực tiếp; tiền mặt thu cho đơn đặt trước nếu cho phép; khoản chi/hoàn được duyệt; tiền gốc và bonus đã dùng; đơn đã giao; nguồn đơn; tiền thực nộp và chênh lệch. Công thức kiểm soát vận hành: tiền phải bàn giao = tiền mặt đầu ca + tiền nạp mặt + tiền bán mặt − khoản hoàn/chi mặt được duyệt. Nếu không có tiền đầu ca hoặc chi, cấu hình các khoản đó bằng 0.</x:v>
      </x:c>
      <x:c r="D45" s="2"/>
    </x:row>
    <x:row r="46" ht="54" customHeight="1">
      <x:c r="B46" s="15" t="str">
        <x:v>Đối soát</x:v>
      </x:c>
      <x:c r="C46" s="15" t="str">
        <x:v>Doanh thu phải phân theo nguồn đơn, cách thanh toán theo payment method; hai chiều độc lập. Giữ riêng ngày đặt, ngày phục vụ, thời điểm thu tiền và thời điểm giao để tránh cộng sai giữa hai ngày. Đây là thiết kế báo cáo nghiệp vụ; chưa thay thế chính sách ghi nhận kế toán của doanh nghiệp.</x:v>
      </x:c>
      <x:c r="D46" s="2"/>
    </x:row>
    <x:row r="47" ht="40" customHeight="1">
      <x:c r="B47" s="14" t="str">
        <x:v>Ngôn ngữ và in ấn</x:v>
      </x:c>
      <x:c r="C47" s="14" t="str">
        <x:v>Năm từ điển UI phải bao phủ cả lỗi, đăng ký, ví, QR, coupon và trạng thái đơn; backend trả error codes. Dữ liệu món/modifier có bản dịch theo locale và tên bếp zh-TW chuẩn.</x:v>
      </x:c>
      <x:c r="D47" s="2"/>
    </x:row>
    <x:row r="48" ht="40" customHeight="1">
      <x:c r="B48" s="15" t="str">
        <x:v>Ngôn ngữ và in ấn</x:v>
      </x:c>
      <x:c r="C48" s="15" t="str">
        <x:v>Ghi chú tự do do khách nhập không thể mặc nhiên biến thành tiếng Trung chuẩn; ưu tiên các tùy chọn cấu hình sẵn "cay/thêm cơm". Với ghi chú tự do cần quy trình duyệt hoặc quy định rõ giới hạn.</x:v>
      </x:c>
      <x:c r="D48" s="2"/>
    </x:row>
    <x:row r="49" ht="40" customHeight="1">
      <x:c r="B49" s="14" t="str">
        <x:v>Ngôn ngữ và in ấn</x:v>
      </x:c>
      <x:c r="C49" s="14" t="str">
        <x:v>Tem lưu snapshot tên khách, mã nhận, điểm, ngày/ca, món và tùy biến tiếng Trung. Không dùng brand đang chọn trên máy bếp để suy ra điểm nhận khi in nhiều tenant.</x:v>
      </x:c>
      <x:c r="D49" s="2"/>
    </x:row>
    <x:row r="50" ht="40" customHeight="1">
      <x:c r="B50" s="15" t="str">
        <x:v>Ngôn ngữ và in ấn</x:v>
      </x:c>
      <x:c r="C50" s="15" t="str">
        <x:v>Hàng đợi in tập trung theo batch/chuyến; phân biệt gửi thành công đến máy với xác nhận tờ giấy thật đã in. Kết quả không rõ phải yêu cầu kiểm tra/in lại có đánh dấu, tránh tự in trùng.</x:v>
      </x:c>
      <x:c r="D50" s="2"/>
    </x:row>
    <x:row r="51" ht="40" customHeight="1">
      <x:c r="B51" s="14" t="str">
        <x:v>Ngôn ngữ và in ấn</x:v>
      </x:c>
      <x:c r="C51" s="14" t="str">
        <x:v>Hàng trên xe chia ít nhất: đã giữ cho đơn đặt trước; dư được bán tại chỗ; đã giao; còn lại/hao hụt. Nếu nhiều người bán cùng chuyến, việc giảm tồn cũng phải chống cạnh tranh.</x:v>
      </x:c>
      <x:c r="D51" s="2"/>
    </x:row>
    <x:row r="52" ht="54" customHeight="1">
      <x:c r="B52" s="15" t="str">
        <x:v>Vận hành</x:v>
      </x:c>
      <x:c r="C52" s="15" t="str">
        <x:v>Bảo mật: tài xế có tài khoản riêng, session thu hồi được; quyền nhỏ nhất, rate limit đăng nhập/QR/nạp; quản lý mới được đảo tiền; log không chứa token nhận hàng hay dữ liệu cá nhân không cần thiết. Backend tự xác thực danh tính và mọi phép đổi tiền/giá.</x:v>
      </x:c>
      <x:c r="D52" s="2"/>
    </x:row>
    <x:row r="53" ht="54" customHeight="1">
      <x:c r="B53" s="14" t="str">
        <x:v>Vận hành</x:v>
      </x:c>
      <x:c r="C53" s="14" t="str">
        <x:v>Quan sát: log organization, tenant, order, member tham chiếu nội bộ, actor, shift, request ID và transaction ID; cảnh báo debit lỗi, quét trùng, chênh lệch ca, tồn âm, backlog in và tỷ lệ lỗi mạng. Báo cáo ví có truy xuất từ số dư về từng bút toán.</x:v>
      </x:c>
      <x:c r="D53" s="2"/>
    </x:row>
    <x:row r="54" ht="68" customHeight="1">
      <x:c r="B54" s="15" t="str">
        <x:v>Vận hành</x:v>
      </x:c>
      <x:c r="C54" s="15" t="str">
        <x:v>Hiệu năng: giữ bootstrap/cache tenant cho menu; không quét toàn lịch sử ở mỗi lần polling; phân trang/filter theo điểm và ca, index phục vụ truy vấn, export theo snapshot. Chỉ cân nhắc push/SSE hoặc Durable Objects sau khi đo cho thấy cần; không thêm stack lớn vào pilot nếu D1 giao dịch đã đáp ứng.</x:v>
      </x:c>
      <x:c r="D54" s="2"/>
    </x:row>
    <x:row r="55" ht="54" customHeight="1">
      <x:c r="B55" s="14" t="str">
        <x:v>Phương án: Mở rộng tenant hiện có + organization + giao dịch D1</x:v>
      </x:c>
      <x:c r="C55" s="14" t="str">
        <x:v>Dùng lại menu, POS, in; báo cáo SQL tập trung
Phải xử lý auth và transaction cẩn thận
Chọn làm baseline, spike trước</x:v>
      </x:c>
      <x:c r="D55" s="2"/>
    </x:row>
    <x:row r="56" ht="54" customHeight="1">
      <x:c r="B56" s="15" t="str">
        <x:v>Phương án: Mỗi điểm hoàn toàn tách biệt, gộp Excel</x:v>
      </x:c>
      <x:c r="C56" s="15" t="str">
        <x:v>Pilot tiền mặt nhanh
Không có ví chung/đối soát tự động, khó quản lý sai lệch
Chỉ dùng pilot rút gọn có thỏa thuận</x:v>
      </x:c>
      <x:c r="D56" s="2"/>
    </x:row>
    <x:row r="57" ht="54" customHeight="1">
      <x:c r="B57" s="14" t="str">
        <x:v>Phương án: Tách dịch vụ ví sang Durable Objects ngay</x:v>
      </x:c>
      <x:c r="C57" s="14" t="str">
        <x:v>Có cơ chế tuần tự theo đối tượng
Phải giải quyết đồng bộ ví-đơn-báo cáo giữa hai nơi
Chưa chọn; đánh giá lại nếu spike/tải D1 không đạt</x:v>
      </x:c>
      <x:c r="D57" s="2"/>
    </x:row>
    <x:row r="58" ht="54" customHeight="1">
      <x:c r="B58" s="15" t="str">
        <x:v>Phương án: Viết lại toàn bộ nền tảng</x:v>
      </x:c>
      <x:c r="C58" s="15" t="str">
        <x:v>Tự do kiến trúc mới
Tăng phạm vi, lãng phí tài sản in/menu, kéo dài một dev
Không chọn</x:v>
      </x:c>
      <x:c r="D58" s="2"/>
    </x:row>
    <x:row r="59" ht="22" customHeight="1">
      <x:c r="B59" s="2"/>
      <x:c r="C59" s="2"/>
      <x:c r="D59" s="2"/>
    </x:row>
    <x:row r="60" ht="22" customHeight="1">
      <x:c r="B60" s="2"/>
      <x:c r="C60" s="2"/>
      <x:c r="D60" s="2"/>
    </x:row>
    <x:row r="61" ht="22" customHeight="1">
      <x:c r="B61" s="2" t="str">
        <x:v>Tài liệu Cloudflare</x:v>
      </x:c>
      <x:c r="C61" s="2" t="str">
        <x:v>URL</x:v>
      </x:c>
      <x:c r="D61" s="2"/>
    </x:row>
    <x:row r="62" ht="22" customHeight="1">
      <x:c r="B62" s="2" t="str">
        <x:v>D1: giao dịch batch</x:v>
      </x:c>
      <x:c r="C62" s="2" t="str">
        <x:v>https://developers.cloudflare.com/d1/worker-api/d1-database/</x:v>
      </x:c>
      <x:c r="D62" s="2"/>
    </x:row>
    <x:row r="63" ht="22" customHeight="1">
      <x:c r="B63" s="2" t="str">
        <x:v>KV: tính nhất quán</x:v>
      </x:c>
      <x:c r="C63" s="2" t="str">
        <x:v>https://developers.cloudflare.com/kv/concepts/how-kv-works/</x:v>
      </x:c>
      <x:c r="D63" s="2"/>
    </x:row>
    <x:row r="64" ht="22" customHeight="1">
      <x:c r="B64" s="2" t="str">
        <x:v>D1: read replication</x:v>
      </x:c>
      <x:c r="C64" s="2" t="str">
        <x:v>https://developers.cloudflare.com/d1/best-practices/read-replication/</x:v>
      </x:c>
      <x:c r="D64" s="2"/>
    </x:row>
    <x:row r="65" ht="22" customHeight="1">
      <x:c r="B65" s="2"/>
      <x:c r="C65" s="2"/>
      <x:c r="D65" s="2"/>
    </x:row>
    <x:row r="66" ht="22" customHeight="1">
      <x:c r="B66" s="2"/>
      <x:c r="C66" s="2"/>
      <x:c r="D66" s="2"/>
    </x:row>
    <x:row r="67" ht="22" customHeight="1">
      <x:c r="B67" s="2"/>
      <x:c r="C67" s="2"/>
      <x:c r="D67" s="2"/>
    </x:row>
  </x:sheetData>
  <x:pageMargins left="0.7" right="0.7" top="0.75" bottom="0.75" header="0.3" footer="0.3"/>
  <x:tableParts count="1">
    <x:tablePart xmlns:r="http://schemas.openxmlformats.org/officeDocument/2006/relationships" r:id="R59b18199a2014c6f"/>
  </x:tableParts>
</x:worksheet>
</file>

<file path=xl/worksheets/sheet6.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 hidden="0" customWidth="1"/>
    <x:col min="2" max="2" width="9" hidden="0" customWidth="1"/>
    <x:col min="3" max="3" width="24" hidden="0" customWidth="1"/>
    <x:col min="4" max="4" width="110" hidden="0" customWidth="1"/>
    <x:col min="5" max="5" width="20" hidden="0" customWidth="1"/>
  </x:cols>
  <x:sheetData>
    <x:row r="2" ht="30" customHeight="1">
      <x:c r="B2" s="3" t="str">
        <x:v>Kiểm thử và triển khai thực tế</x:v>
      </x:c>
      <x:c r="C2" s="2"/>
      <x:c r="D2" s="2"/>
      <x:c r="E2" s="2"/>
    </x:row>
    <x:row r="3" ht="22" customHeight="1">
      <x:c r="B3" s="4"/>
      <x:c r="C3" s="4"/>
      <x:c r="D3" s="4"/>
      <x:c r="E3" s="4"/>
    </x:row>
    <x:row r="4" ht="22" customHeight="1">
      <x:c r="B4" s="11" t="str">
        <x:v>Chỉ tiêu hiệu năng là mục tiêu đề xuất, chưa phải kết quả đo của Benmi.</x:v>
      </x:c>
      <x:c r="C4" s="2"/>
      <x:c r="D4" s="2"/>
      <x:c r="E4" s="2"/>
    </x:row>
    <x:row r="5" ht="22" customHeight="1">
      <x:c r="B5" s="2"/>
      <x:c r="C5" s="2"/>
      <x:c r="D5" s="2"/>
      <x:c r="E5" s="2"/>
    </x:row>
    <x:row r="6" ht="34" customHeight="1">
      <x:c r="B6" s="8" t="str">
        <x:v>Mã</x:v>
      </x:c>
      <x:c r="C6" s="8" t="str">
        <x:v>Nhóm</x:v>
      </x:c>
      <x:c r="D6" s="8" t="str">
        <x:v>Điều kiện nghiệm thu</x:v>
      </x:c>
      <x:c r="E6" s="8" t="str">
        <x:v>Kết quả</x:v>
      </x:c>
    </x:row>
    <x:row r="7" ht="40" customHeight="1">
      <x:c r="B7" s="14" t="str">
        <x:v>NT01</x:v>
      </x:c>
      <x:c r="C7" s="14" t="str">
        <x:v>Khóa đơn</x:v>
      </x:c>
      <x:c r="D7" s="14" t="str">
        <x:v>Ca 05:30 ngày mai cutoff 20:00 hôm nay ở Asia/Taipei; chặn create/modify/append sau cutoff tại server, kiểm tra ranh giới chính xác và đổi ngày</x:v>
      </x:c>
      <x:c r="E7" s="16" t="str">
        <x:v>Chưa kiểm thử</x:v>
      </x:c>
    </x:row>
    <x:row r="8" ht="40" customHeight="1">
      <x:c r="B8" s="15" t="str">
        <x:v>NT02</x:v>
      </x:c>
      <x:c r="C8" s="15" t="str">
        <x:v>Phân quyền</x:v>
      </x:c>
      <x:c r="D8" s="15" t="str">
        <x:v>Đổi tenant/org trên URL/body, gọi trực tiếp API cũ, token hết hạn/thu hồi, tài xế gọi sửa giá/xóa đơn đều không vượt quyền</x:v>
      </x:c>
      <x:c r="E8" s="16" t="str">
        <x:v>Chưa kiểm thử</x:v>
      </x:c>
    </x:row>
    <x:row r="9" ht="40" customHeight="1">
      <x:c r="B9" s="14" t="str">
        <x:v>NT03</x:v>
      </x:c>
      <x:c r="C9" s="14" t="str">
        <x:v>Tính giá</x:v>
      </x:c>
      <x:c r="D9" s="14" t="str">
        <x:v>Sửa total/price/memberId gửi lên không thay giá hoặc người bị trừ tiền; snapshot giá không đổi khi menu đổi</x:v>
      </x:c>
      <x:c r="E9" s="16" t="str">
        <x:v>Chưa kiểm thử</x:v>
      </x:c>
    </x:row>
    <x:row r="10" ht="40" customHeight="1">
      <x:c r="B10" s="15" t="str">
        <x:v>NT04</x:v>
      </x:c>
      <x:c r="C10" s="15" t="str">
        <x:v>Ví</x:v>
      </x:c>
      <x:c r="D10" s="15" t="str">
        <x:v>Hai máy cùng tiêu tiền ở hai điểm; hai máy quét cùng QR; thiếu tiền; request lặp; lỗi giữa chừng; hoàn hai lần: không số dư âm, không debit đôi, không orphan payment</x:v>
      </x:c>
      <x:c r="E10" s="16" t="str">
        <x:v>Chưa kiểm thử</x:v>
      </x:c>
    </x:row>
    <x:row r="11" ht="40" customHeight="1">
      <x:c r="B11" s="14" t="str">
        <x:v>NT05</x:v>
      </x:c>
      <x:c r="C11" s="14" t="str">
        <x:v>Đối soát</x:v>
      </x:c>
      <x:c r="D11" s="14" t="str">
        <x:v>Nạp 1.000 tặng 100; mua bằng ví; bán tiền mặt; hoàn; đổi ca: tiền mặt đúng, bonus riêng, không cộng doanh thu hai lần</x:v>
      </x:c>
      <x:c r="E11" s="16" t="str">
        <x:v>Chưa kiểm thử</x:v>
      </x:c>
    </x:row>
    <x:row r="12" ht="40" customHeight="1">
      <x:c r="B12" s="15" t="str">
        <x:v>NT06</x:v>
      </x:c>
      <x:c r="C12" s="15" t="str">
        <x:v>Bếp</x:v>
      </x:c>
      <x:c r="D12" s="15" t="str">
        <x:v>Cùng món khác tên/giá, khác món cùng tên, modifier/thêm phần/combo, đặt hôm trước: tổng chuẩn và phân đúng ngày/ca/chuyến</x:v>
      </x:c>
      <x:c r="E12" s="16" t="str">
        <x:v>Chưa kiểm thử</x:v>
      </x:c>
    </x:row>
    <x:row r="13" ht="40" customHeight="1">
      <x:c r="B13" s="14" t="str">
        <x:v>NT07</x:v>
      </x:c>
      <x:c r="C13" s="14" t="str">
        <x:v>Vận chuyển</x:v>
      </x:c>
      <x:c r="D13" s="14" t="str">
        <x:v>Không bán phần giữ cho đơn đặt trước; ca đóng không nhận thêm giao dịch; hai tài xế cùng bán suất dư không bán vượt tồn</x:v>
      </x:c>
      <x:c r="E13" s="16" t="str">
        <x:v>Chưa kiểm thử</x:v>
      </x:c>
    </x:row>
    <x:row r="14" ht="40" customHeight="1">
      <x:c r="B14" s="15" t="str">
        <x:v>NT08</x:v>
      </x:c>
      <x:c r="C14" s="15" t="str">
        <x:v>Marketing</x:v>
      </x:c>
      <x:c r="D14" s="15" t="str">
        <x:v>Cấp 100 phiếu một lần; ngưỡng 70; hết hạn 180 ngày; điểm 90 ngày; referral chỉ trả sau nhận thành công; hoàn/no-show không tạo thưởng sai; kho giải không âm</x:v>
      </x:c>
      <x:c r="E14" s="16" t="str">
        <x:v>Chưa kiểm thử</x:v>
      </x:c>
    </x:row>
    <x:row r="15" ht="40" customHeight="1">
      <x:c r="B15" s="14" t="str">
        <x:v>NT09</x:v>
      </x:c>
      <x:c r="C15" s="14" t="str">
        <x:v>In</x:v>
      </x:c>
      <x:c r="D15" s="14" t="str">
        <x:v>Tên khách dài, tiếng Thái/Việt, 5 trường bắt buộc, tùy biến bếp tiếng Trung; hết giấy/mất Bluetooth; in lại có dấu; không trộn điểm</x:v>
      </x:c>
      <x:c r="E15" s="16" t="str">
        <x:v>Chưa kiểm thử</x:v>
      </x:c>
    </x:row>
    <x:row r="16" ht="54" customHeight="1">
      <x:c r="B16" s="15" t="str">
        <x:v>NT10</x:v>
      </x:c>
      <x:c r="C16" s="15" t="str">
        <x:v>Tải</x:v>
      </x:c>
      <x:c r="D16" s="15" t="str">
        <x:v>Dữ liệu ít nhất 20 điểm × tổng 1.000 suất/ngày, đơn và số suất phân biệt rõ; mô phỏng dồn ca, 20 máy tài xế + màn bếp; baseline 10 giao nhận/giây, burst 30/giây trong 60 giây để thử headroom, rồi hiệu chỉnh theo đo thực địa</x:v>
      </x:c>
      <x:c r="E16" s="16" t="str">
        <x:v>Chưa kiểm thử</x:v>
      </x:c>
    </x:row>
    <x:row r="17" ht="40" customHeight="1">
      <x:c r="B17" s="14" t="str">
        <x:v>NT11</x:v>
      </x:c>
      <x:c r="C17" s="14" t="str">
        <x:v>Trải nghiệm</x:v>
      </x:c>
      <x:c r="D17" s="14" t="str">
        <x:v>Mục tiêu p95 API xác nhận &lt;1 giây trong điều kiện đo đã chốt; từ khi đọc được QR đến hiển thị kết quả &lt;2 giây trên mạng 4G đủ tốt; không lấy thời gian đưa camera vào mã làm latency API</x:v>
      </x:c>
      <x:c r="E17" s="16" t="str">
        <x:v>Chưa kiểm thử</x:v>
      </x:c>
    </x:row>
    <x:row r="18" ht="40" customHeight="1">
      <x:c r="B18" s="15" t="str">
        <x:v>NT12</x:v>
      </x:c>
      <x:c r="C18" s="15" t="str">
        <x:v>UAT</x:v>
      </x:c>
      <x:c r="D18" s="15" t="str">
        <x:v>10 ngày vận hành liên tiếp không debit trùng/không chênh lệch tiền không giải thích được; tổng bếp = tổng phân bổ chuyến; hoàn thành phát suất ăn đúng khung giờ</x:v>
      </x:c>
      <x:c r="E18" s="16" t="str">
        <x:v>Chưa kiểm thử</x:v>
      </x:c>
    </x:row>
    <x:row r="19" ht="22" customHeight="1">
      <x:c r="B19" s="2"/>
      <x:c r="C19" s="2"/>
      <x:c r="D19" s="2"/>
      <x:c r="E19" s="2"/>
    </x:row>
    <x:row r="20" ht="22" customHeight="1">
      <x:c r="B20" s="2"/>
      <x:c r="C20" s="2"/>
      <x:c r="D20" s="2"/>
      <x:c r="E20" s="2"/>
    </x:row>
    <x:row r="21" ht="34" customHeight="1">
      <x:c r="B21" s="2"/>
      <x:c r="C21" s="8" t="str">
        <x:v>Bước</x:v>
      </x:c>
      <x:c r="D21" s="8" t="str">
        <x:v>Triển khai và xử lý sự cố</x:v>
      </x:c>
      <x:c r="E21" s="2"/>
    </x:row>
    <x:row r="22" ht="44" customHeight="1">
      <x:c r="B22" s="2"/>
      <x:c r="C22" s="13" t="n">
        <x:v>1</x:v>
      </x:c>
      <x:c r="D22" s="13" t="str">
        <x:v>Thêm bảng và trường nullable/default an toàn; giữ tenant hiện hữu hoạt động. Không tự ghép dữ liệu khách giữa các doanh nghiệp.</x:v>
      </x:c>
      <x:c r="E22" s="2"/>
    </x:row>
    <x:row r="23" ht="44" customHeight="1">
      <x:c r="B23" s="2"/>
      <x:c r="C23" s="13" t="n">
        <x:v>2</x:v>
      </x:c>
      <x:c r="D23" s="13" t="str">
        <x:v>Gắn feature flags theo organization/tenant; tạo hai điểm thử và catalog riêng. Xác thực/ràng buộc cho luồng mới bắt buộc từ ngày đầu; lộ trình chuyển POS cũ sang session cần được kiểm thử tương thích.</x:v>
      </x:c>
      <x:c r="E23" s="2"/>
    </x:row>
    <x:row r="24" ht="44" customHeight="1">
      <x:c r="B24" s="2"/>
      <x:c r="C24" s="13" t="n">
        <x:v>3</x:v>
      </x:c>
      <x:c r="D24" s="13" t="str">
        <x:v>Chạy shadow báo cáo bếp với cùng dữ liệu, so số lượng thủ công; ví dùng dữ liệu thử trước khi thu tiền thật. Nếu chuyển số dư có sẵn, dùng bút toán số dư đầu kỳ có đối soát và phê duyệt.</x:v>
      </x:c>
      <x:c r="E24" s="2"/>
    </x:row>
    <x:row r="25" ht="44" customHeight="1">
      <x:c r="B25" s="2"/>
      <x:c r="C25" s="13" t="n">
        <x:v>4</x:v>
      </x:c>
      <x:c r="D25" s="13" t="str">
        <x:v>Dev → staging → production bằng các npm scripts cf của repository; migration additive trước, code sau. Không dùng wrangler deploy.</x:v>
      </x:c>
      <x:c r="E25" s="2"/>
    </x:row>
    <x:row r="26" ht="44" customHeight="1">
      <x:c r="B26" s="2"/>
      <x:c r="C26" s="13" t="n">
        <x:v>5</x:v>
      </x:c>
      <x:c r="D26" s="13" t="str">
        <x:v>UAT hai điểm tối thiểu 10 ngày vận hành liên tiếp với ca sáng và chiều. Tăng lần lượt 2 → 5 → 10 → 20 điểm, mỗi đợt theo tiêu chí chấp nhận.</x:v>
      </x:c>
      <x:c r="E26" s="2"/>
    </x:row>
    <x:row r="27" ht="44" customHeight="1">
      <x:c r="B27" s="2"/>
      <x:c r="C27" s="13" t="n">
        <x:v>6</x:v>
      </x:c>
      <x:c r="D27" s="13" t="str">
        <x:v>Dừng mở rộng nếu có trừ tiền hai lần, chênh lệch tiền không giải thích được, truy cập chéo điểm hoặc giao nhầm do tem.</x:v>
      </x:c>
      <x:c r="E27" s="2"/>
    </x:row>
    <x:row r="28" ht="72" customHeight="1">
      <x:c r="B28" s="2"/>
      <x:c r="C28" s="13" t="n">
        <x:v>7</x:v>
      </x:c>
      <x:c r="D28" s="13" t="str">
        <x:v>Rollback bằng tắt tính năng nhận giao dịch mới và quay về quy trình dự phòng đã diễn tập. Không khôi phục DB cũ làm mất các giao dịch tiền đã commit; giữ sổ, thực hiện bút toán điều chỉnh và đối soát. Khi thiếu mạng, phương án tiền mặt/phiếu ngoại lệ phải được đánh dấu riêng, tránh giao lại đơn khi kết nối phục hồi.</x:v>
      </x:c>
      <x:c r="E28" s="2"/>
    </x:row>
    <x:row r="29" ht="22" customHeight="1">
      <x:c r="B29" s="2"/>
      <x:c r="C29" s="2"/>
      <x:c r="D29" s="2"/>
      <x:c r="E29" s="2"/>
    </x:row>
    <x:row r="30" ht="46" customHeight="1">
      <x:c r="B30" s="2"/>
      <x:c r="C30" s="12" t="str">
        <x:v>Máy in</x:v>
      </x:c>
      <x:c r="D30" s="12" t="str">
        <x:v>Đo thời gian in 1.000 tem trên đúng model và khổ giấy. Một đơn có thể gồm nhiều suất.</x:v>
      </x:c>
      <x:c r="E30" s="2"/>
    </x:row>
    <x:row r="31" ht="46" customHeight="1">
      <x:c r="B31" s="2"/>
      <x:c r="C31" s="12" t="str">
        <x:v>Trước khi phát hành</x:v>
      </x:c>
      <x:c r="D31" s="12" t="str">
        <x:v>Chạy kiểm tra frontend/backend và test tích hợp. Bump cache-buster HTML khi sửa CSS/JS. Chạy tải trên staging.</x:v>
      </x:c>
      <x:c r="E31" s="2"/>
    </x:row>
    <x:row r="32" ht="46" customHeight="1">
      <x:c r="B32" s="2"/>
      <x:c r="C32" s="12" t="str">
        <x:v>Quy trình phát hành</x:v>
      </x:c>
      <x:c r="D32" s="12" t="str">
        <x:v>Dev, staging rồi production bằng npm scripts dùng cf của repository. Apply migration additive trước khi chuyển code.</x:v>
      </x:c>
      <x:c r="E32" s="2"/>
    </x:row>
    <x:row r="33" ht="22" customHeight="1">
      <x:c r="B33" s="2"/>
      <x:c r="C33" s="2"/>
      <x:c r="D33" s="2"/>
      <x:c r="E33" s="2"/>
    </x:row>
    <x:row r="34" ht="22" customHeight="1">
      <x:c r="B34" s="2"/>
      <x:c r="C34" s="2"/>
      <x:c r="D34" s="2"/>
      <x:c r="E34" s="2"/>
    </x:row>
    <x:row r="35" ht="22" customHeight="1">
      <x:c r="B35" s="2"/>
      <x:c r="C35" s="2"/>
      <x:c r="D35" s="2"/>
      <x:c r="E35" s="2"/>
    </x:row>
    <x:row r="36" ht="22" customHeight="1">
      <x:c r="B36" s="2"/>
      <x:c r="C36" s="2"/>
      <x:c r="D36" s="2"/>
      <x:c r="E36" s="2"/>
    </x:row>
    <x:row r="37" ht="22" customHeight="1">
      <x:c r="B37" s="2"/>
      <x:c r="C37" s="2"/>
      <x:c r="D37" s="2"/>
      <x:c r="E37" s="2"/>
    </x:row>
    <x:row r="38" ht="22" customHeight="1">
      <x:c r="B38" s="2"/>
      <x:c r="C38" s="2"/>
      <x:c r="D38" s="2"/>
      <x:c r="E38" s="2"/>
    </x:row>
    <x:row r="39" ht="22" customHeight="1">
      <x:c r="B39" s="2"/>
      <x:c r="C39" s="2"/>
      <x:c r="D39" s="2"/>
      <x:c r="E39" s="2"/>
    </x:row>
    <x:row r="40" ht="22" customHeight="1">
      <x:c r="B40" s="2"/>
      <x:c r="C40" s="2"/>
      <x:c r="D40" s="2"/>
      <x:c r="E40" s="2"/>
    </x:row>
    <x:row r="41" ht="22" customHeight="1">
      <x:c r="B41" s="2"/>
      <x:c r="C41" s="2"/>
      <x:c r="D41" s="2"/>
      <x:c r="E41" s="2"/>
    </x:row>
    <x:row r="42" ht="22" customHeight="1">
      <x:c r="B42" s="2"/>
      <x:c r="C42" s="2"/>
      <x:c r="D42" s="2"/>
      <x:c r="E42" s="2"/>
    </x:row>
    <x:row r="43" ht="22" customHeight="1">
      <x:c r="B43" s="2"/>
      <x:c r="C43" s="2"/>
      <x:c r="D43" s="2"/>
      <x:c r="E43" s="2"/>
    </x:row>
    <x:row r="44" ht="22" customHeight="1">
      <x:c r="B44" s="2"/>
      <x:c r="C44" s="2"/>
      <x:c r="D44" s="2"/>
      <x:c r="E44" s="2"/>
    </x:row>
    <x:row r="45" ht="22" customHeight="1">
      <x:c r="B45" s="2"/>
      <x:c r="C45" s="2"/>
      <x:c r="D45" s="2"/>
      <x:c r="E45" s="2"/>
    </x:row>
  </x:sheetData>
  <x:conditionalFormatting sqref="E7:E18">
    <x:cfRule type="containsText" dxfId="4" priority="1" operator="containsText" text="Chưa đạt"/>
  </x:conditionalFormatting>
  <x:dataValidations count="1">
    <x:dataValidation type="list" sqref="E7:E18">
      <x:formula1>"Chưa kiểm thử,Đạt,Chưa đạt"</x:formula1>
    </x:dataValidation>
  </x:dataValidations>
  <x:pageMargins left="0.7" right="0.7" top="0.75" bottom="0.75" header="0.3" footer="0.3"/>
  <x:tableParts count="1">
    <x:tablePart xmlns:r="http://schemas.openxmlformats.org/officeDocument/2006/relationships" r:id="Rd9eb99cc7a1245cd"/>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 hidden="0" customWidth="1"/>
    <x:col min="2" max="2" width="9" hidden="0" customWidth="1"/>
    <x:col min="3" max="3" width="95" hidden="0" customWidth="1"/>
    <x:col min="4" max="4" width="75" hidden="0" customWidth="1"/>
    <x:col min="5" max="5" width="20" hidden="0" customWidth="1"/>
  </x:cols>
  <x:sheetData>
    <x:row r="2" ht="30" customHeight="1">
      <x:c r="B2" s="3" t="str">
        <x:v>Các quyết định cần chốt với khách</x:v>
      </x:c>
      <x:c r="C2" s="2"/>
      <x:c r="D2" s="2"/>
      <x:c r="E2" s="2"/>
    </x:row>
    <x:row r="3" ht="22" customHeight="1">
      <x:c r="B3" s="4"/>
      <x:c r="C3" s="4"/>
      <x:c r="D3" s="4"/>
      <x:c r="E3" s="4"/>
    </x:row>
    <x:row r="4" ht="22" customHeight="1">
      <x:c r="B4" s="11" t="str">
        <x:v>Điền quyết định vào ô vàng. Các câu chưa trả lời vẫn được giữ riêng.</x:v>
      </x:c>
      <x:c r="C4" s="2"/>
      <x:c r="D4" s="2"/>
      <x:c r="E4" s="2"/>
    </x:row>
    <x:row r="5" ht="22" customHeight="1">
      <x:c r="B5" s="2"/>
      <x:c r="C5" s="2"/>
      <x:c r="D5" s="2"/>
      <x:c r="E5" s="2"/>
    </x:row>
    <x:row r="6" ht="34" customHeight="1">
      <x:c r="B6" s="8" t="str">
        <x:v>Mã</x:v>
      </x:c>
      <x:c r="C6" s="8" t="str">
        <x:v>Câu hỏi</x:v>
      </x:c>
      <x:c r="D6" s="8" t="str">
        <x:v>Quyết định đã thống nhất</x:v>
      </x:c>
      <x:c r="E6" s="8" t="str">
        <x:v>Tình trạng</x:v>
      </x:c>
    </x:row>
    <x:row r="7" ht="40" customHeight="1">
      <x:c r="B7" s="14" t="str">
        <x:v>CH1</x:v>
      </x:c>
      <x:c r="C7" s="14" t="str">
        <x:v>Pilot có được hoãn voucher/MGM/điểm/vòng quay hay phải đủ tất cả ngay? Có cần 5 ngôn ngữ trong pilot không?</x:v>
      </x:c>
      <x:c r="D7" s="16" t="str"/>
      <x:c r="E7" s="14" t="str">
        <x:f>IF(D7="","Chưa chốt","Đã ghi quyết định")</x:f>
        <x:v>Chưa chốt</x:v>
      </x:c>
    </x:row>
    <x:row r="8" ht="40" customHeight="1">
      <x:c r="B8" s="15" t="str">
        <x:v>CH2</x:v>
      </x:c>
      <x:c r="C8" s="15" t="str">
        <x:v>Khách đăng nhập LINE có phù hợp tất cả nhóm lao động không, hay bắt buộc số điện thoại/OTP? Ai duyệt bản dịch?</x:v>
      </x:c>
      <x:c r="D8" s="16" t="str"/>
      <x:c r="E8" s="14" t="str">
        <x:f>IF(D8="","Chưa chốt","Đã ghi quyết định")</x:f>
        <x:v>Chưa chốt</x:v>
      </x:c>
    </x:row>
    <x:row r="9" ht="54" customHeight="1">
      <x:c r="B9" s="14" t="str">
        <x:v>CH3</x:v>
      </x:c>
      <x:c r="C9" s="14" t="str">
        <x:v>Đặt trước khi chưa đủ số dư có được phép không? Có giữ tiền lúc đặt không? Không tới nhận, hết giờ, hủy sau cutoff và hoàn tiền xử lý thế nào? Baseline là trừ khi nhận như nguyên văn; thêm giữ tiền làm thay đổi luồng.</x:v>
      </x:c>
      <x:c r="D9" s="16" t="str"/>
      <x:c r="E9" s="14" t="str">
        <x:f>IF(D9="","Chưa chốt","Đã ghi quyết định")</x:f>
        <x:v>Chưa chốt</x:v>
      </x:c>
    </x:row>
    <x:row r="10" ht="40" customHeight="1">
      <x:c r="B10" s="15" t="str">
        <x:v>CH4</x:v>
      </x:c>
      <x:c r="C10" s="15" t="str">
        <x:v>100 voucher áp dụng mỗi hội viên hay cả chiến dịch; một đơn dùng bao nhiêu phiếu; có dùng kèm điểm/bonus không; điểm thưởng tính trước hay sau giảm giá?</x:v>
      </x:c>
      <x:c r="D10" s="16" t="str"/>
      <x:c r="E10" s="14" t="str">
        <x:f>IF(D10="","Chưa chốt","Đã ghi quyết định")</x:f>
        <x:v>Chưa chốt</x:v>
      </x:c>
    </x:row>
    <x:row r="11" ht="40" customHeight="1">
      <x:c r="B11" s="14" t="str">
        <x:v>CH5</x:v>
      </x:c>
      <x:c r="C11" s="14" t="str">
        <x:v>Có cho trả tiền mặt cho đơn đặt trước thiếu ví hoặc chia một đơn nhiều cách thanh toán không? Baseline không chia tender.</x:v>
      </x:c>
      <x:c r="D11" s="16" t="str"/>
      <x:c r="E11" s="14" t="str">
        <x:f>IF(D11="","Chưa chốt","Đã ghi quyết định")</x:f>
        <x:v>Chưa chốt</x:v>
      </x:c>
    </x:row>
    <x:row r="12" ht="40" customHeight="1">
      <x:c r="B12" s="15" t="str">
        <x:v>CH6</x:v>
      </x:c>
      <x:c r="C12" s="15" t="str">
        <x:v>Chuyến có một hay nhiều tài xế, có chuyển đơn giữa chuyến, đổi tài xế giữa ca và nhận một phần đơn không?</x:v>
      </x:c>
      <x:c r="D12" s="16" t="str"/>
      <x:c r="E12" s="14" t="str">
        <x:f>IF(D12="","Chưa chốt","Đã ghi quyết định")</x:f>
        <x:v>Chưa chốt</x:v>
      </x:c>
    </x:row>
    <x:row r="13" ht="40" customHeight="1">
      <x:c r="B13" s="14" t="str">
        <x:v>CH7</x:v>
      </x:c>
      <x:c r="C13" s="14" t="str">
        <x:v>Tổng điểm cuối là 20 hay 21 đến 22; số suất sáng/chiều, số điện thoại hoạt động đồng thời và sóng tại điểm thực tế ra sao?</x:v>
      </x:c>
      <x:c r="D13" s="16" t="str"/>
      <x:c r="E13" s="14" t="str">
        <x:f>IF(D13="","Chưa chốt","Đã ghi quyết định")</x:f>
        <x:v>Chưa chốt</x:v>
      </x:c>
    </x:row>
    <x:row r="14" ht="40" customHeight="1">
      <x:c r="B14" s="15" t="str">
        <x:v>CH8</x:v>
      </x:c>
      <x:c r="C14" s="15" t="str">
        <x:v>Máy điều hành Android/Windows/iPad; model máy in, số máy, khổ tem và kết nối; ai hỗ trợ hiện trường lúc 05:30 và 19:00?</x:v>
      </x:c>
      <x:c r="D14" s="16" t="str"/>
      <x:c r="E14" s="14" t="str">
        <x:f>IF(D14="","Chưa chốt","Đã ghi quyết định")</x:f>
        <x:v>Chưa chốt</x:v>
      </x:c>
    </x:row>
    <x:row r="15" ht="40" customHeight="1">
      <x:c r="B15" s="14" t="str">
        <x:v>CH9</x:v>
      </x:c>
      <x:c r="C15" s="14" t="str">
        <x:v>100 phiếu giảm 10 TWD dành cho mỗi hội viên hay toàn chiến dịch? 20 điểm là tổng cuối hay thêm sau pilot?</x:v>
      </x:c>
      <x:c r="D15" s="16" t="str"/>
      <x:c r="E15" s="14" t="str">
        <x:f>IF(D15="","Chưa chốt","Đã ghi quyết định")</x:f>
        <x:v>Chưa chốt</x:v>
      </x:c>
    </x:row>
    <x:row r="16" ht="40" customHeight="1">
      <x:c r="B16" s="15" t="str">
        <x:v>CH10</x:v>
      </x:c>
      <x:c r="C16" s="15" t="str">
        <x:v>Phí ngày công, mức chiết khấu, cách khấu trừ pilot và điều khoản không thu hoa hồng nạp tiền được áp dụng thế nào?</x:v>
      </x:c>
      <x:c r="D16" s="16" t="str"/>
      <x:c r="E16" s="14" t="str">
        <x:f>IF(D16="","Chưa chốt","Đã ghi quyết định")</x:f>
        <x:v>Chưa chốt</x:v>
      </x:c>
    </x:row>
    <x:row r="17" ht="22" customHeight="1">
      <x:c r="B17" s="2"/>
      <x:c r="C17" s="2"/>
      <x:c r="D17" s="2"/>
      <x:c r="E17" s="2"/>
    </x:row>
    <x:row r="18" ht="22" customHeight="1">
      <x:c r="B18" s="2"/>
      <x:c r="C18" s="2"/>
      <x:c r="D18" s="2"/>
      <x:c r="E18" s="2"/>
    </x:row>
    <x:row r="19" ht="34" customHeight="1">
      <x:c r="B19"/>
      <x:c r="C19" s="8" t="str">
        <x:v>Nội dung</x:v>
      </x:c>
      <x:c r="D19" s="8" t="str">
        <x:v>Điều kiện</x:v>
      </x:c>
      <x:c r="E19" s="2"/>
    </x:row>
    <x:row r="20" ht="44" customHeight="1">
      <x:c r="B20"/>
      <x:c r="C20" s="35" t="str">
        <x:v>Chưa tính trong phạm vi</x:v>
      </x:c>
      <x:c r="D20" s="13" t="str">
        <x:v>Tối ưu tuyến GPS, ERP nguyên liệu/BOM, hóa đơn điện tử, ngân hàng/thẻ, ví offline, ứng dụng iOS native và tích hợp mọi loại máy in.</x:v>
      </x:c>
      <x:c r="E20" s="2"/>
    </x:row>
    <x:row r="21" ht="44" customHeight="1">
      <x:c r="B21"/>
      <x:c r="C21" s="35" t="str">
        <x:v>Điều kiện đổi phạm vi</x:v>
      </x:c>
      <x:c r="D21" s="13" t="str">
        <x:v>Nếu yêu cầu đủ marketing ngay ở 1 đến 2 điểm đầu, phần lớn công việc bản đầy đủ phải làm trước pilot. Cần lập lại mốc bàn giao.</x:v>
      </x:c>
      <x:c r="E21" s="2"/>
    </x:row>
    <x:row r="22" ht="58" customHeight="1">
      <x:c r="B22"/>
      <x:c r="C22" s="35" t="str">
        <x:v>Giới hạn xác minh</x:v>
      </x:c>
      <x:c r="D22" s="13" t="str">
        <x:v>Đánh giá mã nguồn ngày 19/10/2026 tại commit f5546c4, nhánh fix/pos-crash-and-autoprint-loop; có đọc thêm blab_admin. Cần xác nhận baseline release trước khi chốt giá cố định.</x:v>
      </x:c>
      <x:c r="E22" s="2"/>
    </x:row>
    <x:row r="23" ht="44" customHeight="1">
      <x:c r="B23"/>
      <x:c r="C23" s="35" t="str">
        <x:v>Ngôn ngữ</x:v>
      </x:c>
      <x:c r="D23" s="13" t="str">
        <x:v>Khách chỉ định người duyệt năm ngôn ngữ. Ghi chú tự do cần quy trình riêng nếu bếp bắt buộc chỉ nhận tiếng Trung.</x:v>
      </x:c>
      <x:c r="E23" s="2"/>
    </x:row>
    <x:row r="24" ht="44" customHeight="1">
      <x:c r="B24"/>
      <x:c r="C24" s="35" t="str">
        <x:v>Biên tập</x:v>
      </x:c>
      <x:c r="D24" s="13" t="str">
        <x:v>Câu chữ được rút gọn theo Humanizer, giữ nguyên số liệu và phạm vi: https://github.com/blader/humanizer/blob/main/SKILL.md</x:v>
      </x:c>
      <x:c r="E24" s="2"/>
    </x:row>
    <x:row r="25" ht="22" customHeight="1">
      <x:c r="B25" s="2"/>
      <x:c r="C25" s="2"/>
      <x:c r="D25" s="2"/>
      <x:c r="E25" s="2"/>
    </x:row>
    <x:row r="26" ht="22" customHeight="1">
      <x:c r="B26" s="2"/>
      <x:c r="C26" s="2"/>
      <x:c r="D26" s="2"/>
      <x:c r="E26" s="2"/>
    </x:row>
    <x:row r="27" ht="22" customHeight="1">
      <x:c r="B27" s="2"/>
      <x:c r="C27" s="2"/>
      <x:c r="D27" s="2"/>
      <x:c r="E27" s="2"/>
    </x:row>
    <x:row r="28" ht="22" customHeight="1">
      <x:c r="B28" s="2"/>
      <x:c r="C28" s="2"/>
      <x:c r="D28" s="2"/>
      <x:c r="E28" s="2"/>
    </x:row>
    <x:row r="29" ht="22" customHeight="1">
      <x:c r="B29" s="2"/>
      <x:c r="C29" s="2"/>
      <x:c r="D29" s="2"/>
      <x:c r="E29" s="2"/>
    </x:row>
    <x:row r="30" ht="22" customHeight="1">
      <x:c r="B30" s="2"/>
      <x:c r="C30" s="2"/>
      <x:c r="D30" s="2"/>
      <x:c r="E30" s="2"/>
    </x:row>
  </x:sheetData>
  <x:conditionalFormatting sqref="E7:E16">
    <x:cfRule type="containsText" dxfId="5" priority="1" operator="containsText" text="Chưa chốt"/>
  </x:conditionalFormatting>
  <x:pageMargins left="0.7" right="0.7" top="0.75" bottom="0.75" header="0.3" footer="0.3"/>
  <x:tableParts count="1">
    <x:tablePart xmlns:r="http://schemas.openxmlformats.org/officeDocument/2006/relationships" r:id="R48b87745386140e4"/>
  </x:tableParts>
</x:worksheet>
</file>